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ultlessness" sheetId="1" r:id="rId5"/>
    <sheet state="visible" name="Availability" sheetId="2" r:id="rId6"/>
    <sheet state="visible" name="Fault Tolerance" sheetId="3" r:id="rId7"/>
    <sheet state="visible" name="Recoverability" sheetId="4" r:id="rId8"/>
    <sheet state="visible" name="Integrity" sheetId="5" r:id="rId9"/>
    <sheet state="visible" name="Modularity" sheetId="6" r:id="rId10"/>
    <sheet state="visible" name="Modifiability" sheetId="7" r:id="rId11"/>
    <sheet state="visible" name="Testability" sheetId="8" r:id="rId12"/>
    <sheet state="visible" name="Adaptability" sheetId="9" r:id="rId13"/>
    <sheet state="visible" name="Installability" sheetId="10" r:id="rId14"/>
    <sheet state="visible" name="KPI" sheetId="11" r:id="rId15"/>
    <sheet state="visible" name="Scan Count Ablation Time" sheetId="12" r:id="rId16"/>
  </sheets>
  <definedNames/>
  <calcPr/>
</workbook>
</file>

<file path=xl/sharedStrings.xml><?xml version="1.0" encoding="utf-8"?>
<sst xmlns="http://schemas.openxmlformats.org/spreadsheetml/2006/main" count="1218" uniqueCount="253">
  <si>
    <t>AVAILABILITY</t>
  </si>
  <si>
    <t>Fault Tolerance</t>
  </si>
  <si>
    <t>Faultlessness</t>
  </si>
  <si>
    <t>Recoverability</t>
  </si>
  <si>
    <t>Sample ID</t>
  </si>
  <si>
    <t>Cycle</t>
  </si>
  <si>
    <t>Session</t>
  </si>
  <si>
    <t>Prediction Cycle Completed?</t>
  </si>
  <si>
    <t>Saved Data Present Before Restart?</t>
  </si>
  <si>
    <t>Scan Acquisition Completed?</t>
  </si>
  <si>
    <t>No. of Scans Acquired Before Interruption</t>
  </si>
  <si>
    <t>Restart Completed Successfully?</t>
  </si>
  <si>
    <t>System Crash?</t>
  </si>
  <si>
    <t>GUI Returned Ready for Scanning?</t>
  </si>
  <si>
    <t>Unresponsive Operation?</t>
  </si>
  <si>
    <t>Saved Data Accessible After Restart?</t>
  </si>
  <si>
    <t>Saving Error?</t>
  </si>
  <si>
    <t>Sample ID Used After Restart</t>
  </si>
  <si>
    <t>Unexpected Error/Warning?</t>
  </si>
  <si>
    <t>Notes</t>
  </si>
  <si>
    <t>Post-Restart Prediction Cycle Completed?</t>
  </si>
  <si>
    <t>Trial</t>
  </si>
  <si>
    <t>C01</t>
  </si>
  <si>
    <t>Yes</t>
  </si>
  <si>
    <t>Startup Time (s)</t>
  </si>
  <si>
    <t>Test Scenario</t>
  </si>
  <si>
    <t>N/A</t>
  </si>
  <si>
    <t>Input / Sample ID</t>
  </si>
  <si>
    <t>C08</t>
  </si>
  <si>
    <t>No</t>
  </si>
  <si>
    <t>Input Description</t>
  </si>
  <si>
    <t>System Response</t>
  </si>
  <si>
    <t>Accepted for Classification?</t>
  </si>
  <si>
    <t>Able to Rescan / Continue?</t>
  </si>
  <si>
    <t>Normal operation</t>
  </si>
  <si>
    <t>System Remained Operational?</t>
  </si>
  <si>
    <t>No sample</t>
  </si>
  <si>
    <t>Reached GUI Ready for Scanning?</t>
  </si>
  <si>
    <t>Empty</t>
  </si>
  <si>
    <t>Warning: No valid sample detected</t>
  </si>
  <si>
    <t>C09</t>
  </si>
  <si>
    <t>C10</t>
  </si>
  <si>
    <t>C11</t>
  </si>
  <si>
    <t>C02</t>
  </si>
  <si>
    <t>C12</t>
  </si>
  <si>
    <t>C03</t>
  </si>
  <si>
    <t>Non-corn sample</t>
  </si>
  <si>
    <t>NC01</t>
  </si>
  <si>
    <t>White paper</t>
  </si>
  <si>
    <t>Warning: Not a corn sample</t>
  </si>
  <si>
    <t>C04</t>
  </si>
  <si>
    <t>C05</t>
  </si>
  <si>
    <t>NC02</t>
  </si>
  <si>
    <t>Folding fan</t>
  </si>
  <si>
    <t>Classified: Uncertain | Best match: Not Sweet</t>
  </si>
  <si>
    <t>C06</t>
  </si>
  <si>
    <t>Non-corn object was accepted for classification</t>
  </si>
  <si>
    <t>C07</t>
  </si>
  <si>
    <t>Warning: Sample unstable</t>
  </si>
  <si>
    <t>NC03</t>
  </si>
  <si>
    <t>Hair brush</t>
  </si>
  <si>
    <t>NC04</t>
  </si>
  <si>
    <t>Scissors</t>
  </si>
  <si>
    <t>NC05</t>
  </si>
  <si>
    <t>Spoon</t>
  </si>
  <si>
    <t>C13</t>
  </si>
  <si>
    <t>C14</t>
  </si>
  <si>
    <t>Unstable sample</t>
  </si>
  <si>
    <t>White Lagkitan corn</t>
  </si>
  <si>
    <t>Classified: Not Sweet</t>
  </si>
  <si>
    <t>C15</t>
  </si>
  <si>
    <t>Sample continuously rotated with irregular movement during acquisition; instability was not rejected.</t>
  </si>
  <si>
    <t>C16</t>
  </si>
  <si>
    <t>Sample continuously rotated with irregular movement during acquisition</t>
  </si>
  <si>
    <t>C17</t>
  </si>
  <si>
    <t>C18</t>
  </si>
  <si>
    <t>C19</t>
  </si>
  <si>
    <t>C20</t>
  </si>
  <si>
    <t>Valid white Lagkitan sample</t>
  </si>
  <si>
    <t>Classified: Uncertain | Best match: Sweet</t>
  </si>
  <si>
    <t>Observations were obtained from the same normal prediction runs recorded under Faultlessness</t>
  </si>
  <si>
    <t>Classified: Sweet</t>
  </si>
  <si>
    <t>INTEGRITY</t>
  </si>
  <si>
    <t>Hash Before</t>
  </si>
  <si>
    <t>Hash After</t>
  </si>
  <si>
    <t>Hash Match?</t>
  </si>
  <si>
    <t>Rows Before</t>
  </si>
  <si>
    <t>Rows After</t>
  </si>
  <si>
    <t>File Size Before</t>
  </si>
  <si>
    <t>File Size After</t>
  </si>
  <si>
    <t>Accessible After Restart?</t>
  </si>
  <si>
    <t>Missing/Corrupt Records</t>
  </si>
  <si>
    <t>Result</t>
  </si>
  <si>
    <t>924fde23bfe5e758e43903ce86adb864c91e007fc87f66701c2d490e9f1e9d75</t>
  </si>
  <si>
    <t>Modularity</t>
  </si>
  <si>
    <t>Item ID</t>
  </si>
  <si>
    <t>Hardware / Software</t>
  </si>
  <si>
    <t>Component / Module</t>
  </si>
  <si>
    <t>Connection / Interface</t>
  </si>
  <si>
    <t>Can Be Accessed or Replaced Independently?</t>
  </si>
  <si>
    <t>Observed Limitation / Dependency</t>
  </si>
  <si>
    <t>M01</t>
  </si>
  <si>
    <t>Hardware</t>
  </si>
  <si>
    <t>Raspberry Pi 4 Model B</t>
  </si>
  <si>
    <t>HDMI and USB power to touchscreen; I2C (SDA, SCL, 3.3 V, GND) to AS7265x sensor; USB-C power input from powerbank module</t>
  </si>
  <si>
    <t>Requires disconnection and reconnection of attached cables and I2C wiring; replacement must provide compatible power, display, and GPIO/I2C interfaces. Unit is enclosed in a custom case but is not fixed to the prototype surface.</t>
  </si>
  <si>
    <t>Physical position is partly maintained by the stiffness of the connected HDMI and USB cables.</t>
  </si>
  <si>
    <t>M02</t>
  </si>
  <si>
    <t>AS7265x sensor</t>
  </si>
  <si>
    <t>I2C connection to Raspberry Pi through SDA, SCL, 3.3 V, and GND</t>
  </si>
  <si>
    <t>Replacement requires disconnecting the I2C and power connections and remounting the sensor in the same sensing position and orientation.</t>
  </si>
  <si>
    <t>Mounted below the top chassis facing upward using screws and nuts; can be removed by unscrewing the mounting hardware.</t>
  </si>
  <si>
    <t>M03</t>
  </si>
  <si>
    <t>5-inch touchscreen display</t>
  </si>
  <si>
    <t>HDMI connection to Raspberry Pi for display and USB connection for power/touch interface</t>
  </si>
  <si>
    <t>Replacement requires disconnecting the HDMI and USB connections and fitting the replacement display into the custom display case.</t>
  </si>
  <si>
    <t>Display is housed in a custom case attached to the chassis. The display itself is not screwed inside the case and is held in place by the interlocking cover mechanism, allowing easy removal.</t>
  </si>
  <si>
    <t>M04</t>
  </si>
  <si>
    <t>4-port USB hub</t>
  </si>
  <si>
    <t>USB connection to Raspberry Pi; provides additional USB ports for connected peripherals</t>
  </si>
  <si>
    <t>Yes, with minor physical removal</t>
  </si>
  <si>
    <t>Replacement requires disconnecting the USB connections and removing the adhesive securing the hub to the front chassis.</t>
  </si>
  <si>
    <t>Hub is attached to the front chassis using adhesive.</t>
  </si>
  <si>
    <t>M05</t>
  </si>
  <si>
    <t>IP5353 powerbank module</t>
  </si>
  <si>
    <t>USB-C charging input; BATT+ and BATT− connection to two parallel LiPo batteries; USB-A output to power switch and Raspberry Pi USB-C input</t>
  </si>
  <si>
    <t>Yes, with minor rework</t>
  </si>
  <si>
    <t>Replacement requires disconnecting the charging input and USB output, and desoldering/resoldering the battery wires connected to BATT+ and BATT−.</t>
  </si>
  <si>
    <t>Placed on an internal screw-mount guide but not secured with a nut, allowing the module to slide in and out after its electrical connections are disconnected.</t>
  </si>
  <si>
    <t>M06</t>
  </si>
  <si>
    <t>Dual LiPo battery pack</t>
  </si>
  <si>
    <t>Two LiPo batteries connected in parallel, with the combined battery leads connected to the BATT+ and BATT− terminals of the IP5353 powerbank module</t>
  </si>
  <si>
    <t>Replacement requires removing the double-sided tape and desoldering/resoldering the battery leads from the powerbank module.</t>
  </si>
  <si>
    <t>Both LiPo batteries are secured inside the chassis using double-sided tape.</t>
  </si>
  <si>
    <t>M07</t>
  </si>
  <si>
    <t>Power button</t>
  </si>
  <si>
    <t>Installed in series between the IP5353 powerbank module USB-A output and the Raspberry Pi USB-C power input</t>
  </si>
  <si>
    <t>Limited</t>
  </si>
  <si>
    <t>The switch is fixed to the chassis using a hardened adhesive. Removal would require breaking or softening the adhesive and may damage the mounting area.</t>
  </si>
  <si>
    <t>The switch itself functions as the physical power control for the prototype.</t>
  </si>
  <si>
    <t>M08</t>
  </si>
  <si>
    <t>USB-C charging extender / external charging port</t>
  </si>
  <si>
    <t>Provides the external USB-C charging connection to the USB-C input of the IP5353 powerbank module</t>
  </si>
  <si>
    <t>The extender port is fixed to the chassis using a hardened adhesive. Removal would require breaking or softening the adhesive and may damage the mounting area.</t>
  </si>
  <si>
    <t>Provides an externally accessible charging interface while keeping the powerbank module inside the enclosure.</t>
  </si>
  <si>
    <t>M09</t>
  </si>
  <si>
    <t>Software</t>
  </si>
  <si>
    <t>Sensor acquisition</t>
  </si>
  <si>
    <t>Uses the qwiic_as7265x library to initialize the AS7265x sensor and acquire calibrated readings from the six wavelength channels during the scanning sequence.</t>
  </si>
  <si>
    <t>Yes, with some dependency</t>
  </si>
  <si>
    <t>Depends on the AS7265x sensor, its software library, and the expected six-channel data format.</t>
  </si>
  <si>
    <t>Sensor setup and scan acquisition are handled in separate parts of the program.</t>
  </si>
  <si>
    <t>M10</t>
  </si>
  <si>
    <t>Input validation and preprocessing</t>
  </si>
  <si>
    <t>Receives the raw six-channel scan data, checks whether the scan is valid, then applies scan filtering, SNV normalization, and median aggregation before prediction.</t>
  </si>
  <si>
    <t>Depends on the expected six-channel scan format and the predefined validation thresholds and preprocessing sequence used by the deployed model.</t>
  </si>
  <si>
    <t>Validation and preprocessing are handled in separate processing steps.</t>
  </si>
  <si>
    <t>M11</t>
  </si>
  <si>
    <t>Model prediction / inference</t>
  </si>
  <si>
    <t>Receives the processed six-feature vector and passes it to the deployed joblib model to obtain the predicted class and confidence value.</t>
  </si>
  <si>
    <t>Depends on the deployed model file, the expected six-feature input format, and compatibility with the model's prediction and probability outputs.</t>
  </si>
  <si>
    <t>Model loading and prediction are handled separately from scanning and preprocessing.</t>
  </si>
  <si>
    <t>M12</t>
  </si>
  <si>
    <t>User interface and data management</t>
  </si>
  <si>
    <t>Provides the touchscreen controls for prediction, history viewing, and shutdown, and stores prediction results in the prediction_history.csv file.</t>
  </si>
  <si>
    <t>Depends on the main interface structure and the format used for saving prediction history.</t>
  </si>
  <si>
    <t>History, shutdown, and other interface actions are handled in separate parts of the program, but remain within the same application.</t>
  </si>
  <si>
    <t>Modifiability</t>
  </si>
  <si>
    <t>Modification ID</t>
  </si>
  <si>
    <t>Testability</t>
  </si>
  <si>
    <t>Regression Trial</t>
  </si>
  <si>
    <t>Modified Software Element</t>
  </si>
  <si>
    <t>Original Content</t>
  </si>
  <si>
    <t>Modified Content</t>
  </si>
  <si>
    <t>Modification Applied?</t>
  </si>
  <si>
    <t>Application Launched Normally?</t>
  </si>
  <si>
    <t>Scanning Operational?</t>
  </si>
  <si>
    <t>Function Tested</t>
  </si>
  <si>
    <t>History Operational?</t>
  </si>
  <si>
    <t>Sample / Data Used</t>
  </si>
  <si>
    <t>Shutdown Operational?</t>
  </si>
  <si>
    <t>Function Initiated Successfully?</t>
  </si>
  <si>
    <t>Unexpected Error?</t>
  </si>
  <si>
    <t>Function Completed Successfully?</t>
  </si>
  <si>
    <t>Unexpected Error / Warning?</t>
  </si>
  <si>
    <t>MOD01</t>
  </si>
  <si>
    <t>Scanning</t>
  </si>
  <si>
    <t>UI Label Text</t>
  </si>
  <si>
    <t>Corn Sweetness Estimator</t>
  </si>
  <si>
    <t>Corn Sweetness Hello</t>
  </si>
  <si>
    <t>View History</t>
  </si>
  <si>
    <t>Existing history data</t>
  </si>
  <si>
    <t>MOD02</t>
  </si>
  <si>
    <t>Shutdown</t>
  </si>
  <si>
    <t>Confidence Threshold</t>
  </si>
  <si>
    <t>Normal shutdown</t>
  </si>
  <si>
    <t>MOD03</t>
  </si>
  <si>
    <t>Scan Count</t>
  </si>
  <si>
    <t>Adaptability</t>
  </si>
  <si>
    <t>Environment</t>
  </si>
  <si>
    <t>Test Time</t>
  </si>
  <si>
    <t>Lighting Condition</t>
  </si>
  <si>
    <t>Direct Sunlight on Scanner?</t>
  </si>
  <si>
    <t>Weather Condition</t>
  </si>
  <si>
    <t>Warning Displayed?</t>
  </si>
  <si>
    <t>Scan Rejected?</t>
  </si>
  <si>
    <t>Rescan Required?</t>
  </si>
  <si>
    <t>Indoor</t>
  </si>
  <si>
    <t>Room light turned on</t>
  </si>
  <si>
    <t>Outdoor - covered garage</t>
  </si>
  <si>
    <t>Ambient daylight under roof</t>
  </si>
  <si>
    <t>Cloudy</t>
  </si>
  <si>
    <t>Installability</t>
  </si>
  <si>
    <t>Power-On Initiated Normally?</t>
  </si>
  <si>
    <t>Additional Software Installation Required?</t>
  </si>
  <si>
    <t>Additional Configuration Required?</t>
  </si>
  <si>
    <t>Manual Program Launch Required?</t>
  </si>
  <si>
    <t>GUI Reached Ready-for-Scanning State?</t>
  </si>
  <si>
    <t>Unexpected Issue?</t>
  </si>
  <si>
    <t>YES</t>
  </si>
  <si>
    <t>NO</t>
  </si>
  <si>
    <t>NORMAL STARTUP</t>
  </si>
  <si>
    <t>KPI</t>
  </si>
  <si>
    <t>Measurement Time per Sample</t>
  </si>
  <si>
    <t>BATTERY RUNTIME TEST</t>
  </si>
  <si>
    <t>Observed Total Time (s)</t>
  </si>
  <si>
    <t>Programmed Wait Time (s)</t>
  </si>
  <si>
    <t>Remaining Time (s)</t>
  </si>
  <si>
    <t>Prediction Completed?</t>
  </si>
  <si>
    <t>Metric</t>
  </si>
  <si>
    <r>
      <rPr>
        <rFont val="Arial"/>
        <b/>
        <color theme="1"/>
      </rPr>
      <t>27.05 s</t>
    </r>
    <r>
      <rPr>
        <rFont val="Arial"/>
        <color theme="1"/>
      </rPr>
      <t xml:space="preserve">
=
0.05 s LED settling + (9 × 3 s in between-scan intervals)</t>
    </r>
  </si>
  <si>
    <t>Run Start</t>
  </si>
  <si>
    <t>Last Recorded Event</t>
  </si>
  <si>
    <t>Confirmed Logged Runtime</t>
  </si>
  <si>
    <t>≥ 16 h 49 min 35.8 s</t>
  </si>
  <si>
    <t>Completed Prediction Cycles</t>
  </si>
  <si>
    <t>Successful Cycles</t>
  </si>
  <si>
    <t>Validation Rejections</t>
  </si>
  <si>
    <t>Errors</t>
  </si>
  <si>
    <t>Mean Cycle Duration</t>
  </si>
  <si>
    <t>32.381 s</t>
  </si>
  <si>
    <t>Endpoint</t>
  </si>
  <si>
    <t>Uncontrolled termination; prototype later found powered off</t>
  </si>
  <si>
    <t>Exact shutdown time was not observed; reported runtime is the confirmed logged lower bound</t>
  </si>
  <si>
    <t>Scan count</t>
  </si>
  <si>
    <t>Trial 1</t>
  </si>
  <si>
    <t>Trial 2</t>
  </si>
  <si>
    <t>Trial 3</t>
  </si>
  <si>
    <t>Trial 4</t>
  </si>
  <si>
    <t>Trial 5</t>
  </si>
  <si>
    <t>Mean</t>
  </si>
  <si>
    <t>SD</t>
  </si>
  <si>
    <t>Reused Prediction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</si>
</sst>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2" xfId="0" applyAlignment="1" applyFont="1" applyNumberFormat="1">
      <alignment horizontal="righ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/>
    </xf>
    <xf borderId="0" fillId="0" fontId="2" numFmtId="3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1">
    <tableStyle count="3" pivot="0" name="Recoverability-style">
      <tableStyleElement dxfId="1" type="headerRow"/>
      <tableStyleElement dxfId="2" type="firstRowStripe"/>
      <tableStyleElement dxfId="3" type="secondRowStripe"/>
    </tableStyle>
    <tableStyle count="3" pivot="0" name="Fault Tolerance-style">
      <tableStyleElement dxfId="1" type="headerRow"/>
      <tableStyleElement dxfId="2" type="firstRowStripe"/>
      <tableStyleElement dxfId="3" type="secondRowStripe"/>
    </tableStyle>
    <tableStyle count="3" pivot="0" name="Faultlessness-style">
      <tableStyleElement dxfId="1" type="headerRow"/>
      <tableStyleElement dxfId="2" type="firstRowStripe"/>
      <tableStyleElement dxfId="3" type="secondRowStripe"/>
    </tableStyle>
    <tableStyle count="3" pivot="0" name="Availability-style">
      <tableStyleElement dxfId="1" type="headerRow"/>
      <tableStyleElement dxfId="2" type="firstRowStripe"/>
      <tableStyleElement dxfId="3" type="secondRowStripe"/>
    </tableStyle>
    <tableStyle count="3" pivot="0" name="Integrity-style">
      <tableStyleElement dxfId="1" type="headerRow"/>
      <tableStyleElement dxfId="2" type="firstRowStripe"/>
      <tableStyleElement dxfId="3" type="secondRowStripe"/>
    </tableStyle>
    <tableStyle count="3" pivot="0" name="Modularity-style">
      <tableStyleElement dxfId="1" type="headerRow"/>
      <tableStyleElement dxfId="2" type="firstRowStripe"/>
      <tableStyleElement dxfId="3" type="secondRowStripe"/>
    </tableStyle>
    <tableStyle count="3" pivot="0" name="Modifiability-style">
      <tableStyleElement dxfId="1" type="headerRow"/>
      <tableStyleElement dxfId="2" type="firstRowStripe"/>
      <tableStyleElement dxfId="3" type="secondRowStripe"/>
    </tableStyle>
    <tableStyle count="3" pivot="0" name="Testability-style">
      <tableStyleElement dxfId="1" type="headerRow"/>
      <tableStyleElement dxfId="2" type="firstRowStripe"/>
      <tableStyleElement dxfId="3" type="secondRowStripe"/>
    </tableStyle>
    <tableStyle count="3" pivot="0" name="Adaptability-style">
      <tableStyleElement dxfId="1" type="headerRow"/>
      <tableStyleElement dxfId="2" type="firstRowStripe"/>
      <tableStyleElement dxfId="3" type="secondRowStripe"/>
    </tableStyle>
    <tableStyle count="3" pivot="0" name="Installability-style">
      <tableStyleElement dxfId="1" type="headerRow"/>
      <tableStyleElement dxfId="2" type="firstRowStripe"/>
      <tableStyleElement dxfId="3" type="secondRowStripe"/>
    </tableStyle>
    <tableStyle count="3" pivot="0" name="KP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22" displayName="Table_2" name="Table_2" id="3">
  <tableColumns count="10">
    <tableColumn name="Sample ID" id="1"/>
    <tableColumn name="Session" id="2"/>
    <tableColumn name="Prediction Cycle Completed?" id="3"/>
    <tableColumn name="Scan Acquisition Completed?" id="4"/>
    <tableColumn name="No. of Scans Acquired Before Interruption" id="5"/>
    <tableColumn name="System Crash?" id="6"/>
    <tableColumn name="Unresponsive Operation?" id="7"/>
    <tableColumn name="Saving Error?" id="8"/>
    <tableColumn name="Unexpected Error/Warning?" id="9"/>
    <tableColumn name="Notes" id="10"/>
  </tableColumns>
  <tableStyleInfo name="Faultlessness-style" showColumnStripes="0" showFirstColumn="1" showLastColumn="1" showRowStripes="1"/>
</table>
</file>

<file path=xl/tables/table2.xml><?xml version="1.0" encoding="utf-8"?>
<table xmlns="http://schemas.openxmlformats.org/spreadsheetml/2006/main" ref="A2:C12" displayName="Table_1" name="Table_1" id="4">
  <tableColumns count="3">
    <tableColumn name="Trial" id="1"/>
    <tableColumn name="Startup Time (s)" id="2"/>
    <tableColumn name="Reached GUI Ready for Scanning?" id="3"/>
  </tableColumns>
  <tableStyleInfo name="Availability-style" showColumnStripes="0" showFirstColumn="1" showLastColumn="1" showRowStripes="1"/>
</table>
</file>

<file path=xl/tables/table3.xml><?xml version="1.0" encoding="utf-8"?>
<table xmlns="http://schemas.openxmlformats.org/spreadsheetml/2006/main" ref="A2:I52" displayName="Table_3" name="Table_3" id="1">
  <tableColumns count="9">
    <tableColumn name="Trial" id="1"/>
    <tableColumn name="Test Scenario" id="2"/>
    <tableColumn name="Input / Sample ID" id="3"/>
    <tableColumn name="Input Description" id="4"/>
    <tableColumn name="System Response" id="5"/>
    <tableColumn name="Accepted for Classification?" id="6"/>
    <tableColumn name="Able to Rescan / Continue?" id="7"/>
    <tableColumn name="System Remained Operational?" id="8"/>
    <tableColumn name="Notes" id="9"/>
  </tableColumns>
  <tableStyleInfo name="Fault Tolerance-style" showColumnStripes="0" showFirstColumn="1" showLastColumn="1" showRowStripes="1"/>
</table>
</file>

<file path=xl/tables/table4.xml><?xml version="1.0" encoding="utf-8"?>
<table xmlns="http://schemas.openxmlformats.org/spreadsheetml/2006/main" ref="A2:H7" displayName="Table_4" name="Table_4" id="2">
  <tableColumns count="8">
    <tableColumn name="Cycle" id="1"/>
    <tableColumn name="Saved Data Present Before Restart?" id="2"/>
    <tableColumn name="Restart Completed Successfully?" id="3"/>
    <tableColumn name="GUI Returned Ready for Scanning?" id="4"/>
    <tableColumn name="Saved Data Accessible After Restart?" id="5"/>
    <tableColumn name="Sample ID Used After Restart" id="6"/>
    <tableColumn name="Post-Restart Prediction Cycle Completed?" id="7"/>
    <tableColumn name="Notes" id="8"/>
  </tableColumns>
  <tableStyleInfo name="Recoverability-style" showColumnStripes="0" showFirstColumn="1" showLastColumn="1" showRowStripes="1"/>
</table>
</file>

<file path=xl/tables/table5.xml><?xml version="1.0" encoding="utf-8"?>
<table xmlns="http://schemas.openxmlformats.org/spreadsheetml/2006/main" ref="A2:K7" displayName="Table_5" name="Table_5" id="5">
  <tableColumns count="11">
    <tableColumn name="Cycle" id="1"/>
    <tableColumn name="Hash Before" id="2"/>
    <tableColumn name="Hash After" id="3"/>
    <tableColumn name="Hash Match?" id="4"/>
    <tableColumn name="Rows Before" id="5"/>
    <tableColumn name="Rows After" id="6"/>
    <tableColumn name="File Size Before" id="7"/>
    <tableColumn name="File Size After" id="8"/>
    <tableColumn name="Accessible After Restart?" id="9"/>
    <tableColumn name="Missing/Corrupt Records" id="10"/>
    <tableColumn name="Result" id="11"/>
  </tableColumns>
  <tableStyleInfo name="Integrity-style" showColumnStripes="0" showFirstColumn="1" showLastColumn="1" showRowStripes="1"/>
</table>
</file>

<file path=xl/tables/table6.xml><?xml version="1.0" encoding="utf-8"?>
<table xmlns="http://schemas.openxmlformats.org/spreadsheetml/2006/main" ref="A2:G14" displayName="Table_6" name="Table_6" id="6">
  <tableColumns count="7">
    <tableColumn name="Item ID" id="1"/>
    <tableColumn name="Hardware / Software" id="2"/>
    <tableColumn name="Component / Module" id="3"/>
    <tableColumn name="Connection / Interface" id="4"/>
    <tableColumn name="Can Be Accessed or Replaced Independently?" id="5"/>
    <tableColumn name="Observed Limitation / Dependency" id="6"/>
    <tableColumn name="Notes" id="7"/>
  </tableColumns>
  <tableStyleInfo name="Modularity-style" showColumnStripes="0" showFirstColumn="1" showLastColumn="1" showRowStripes="1"/>
</table>
</file>

<file path=xl/tables/table7.xml><?xml version="1.0" encoding="utf-8"?>
<table xmlns="http://schemas.openxmlformats.org/spreadsheetml/2006/main" ref="A2:L8" displayName="Table_7" name="Table_7" id="7">
  <tableColumns count="12">
    <tableColumn name="Modification ID" id="1"/>
    <tableColumn name="Regression Trial" id="2"/>
    <tableColumn name="Modified Software Element" id="3"/>
    <tableColumn name="Original Content" id="4"/>
    <tableColumn name="Modified Content" id="5"/>
    <tableColumn name="Modification Applied?" id="6"/>
    <tableColumn name="Application Launched Normally?" id="7"/>
    <tableColumn name="Scanning Operational?" id="8"/>
    <tableColumn name="History Operational?" id="9"/>
    <tableColumn name="Shutdown Operational?" id="10"/>
    <tableColumn name="Unexpected Error?" id="11"/>
    <tableColumn name="Notes" id="12"/>
  </tableColumns>
  <tableStyleInfo name="Modifiability-style" showColumnStripes="0" showFirstColumn="1" showLastColumn="1" showRowStripes="1"/>
</table>
</file>

<file path=xl/tables/table8.xml><?xml version="1.0" encoding="utf-8"?>
<table xmlns="http://schemas.openxmlformats.org/spreadsheetml/2006/main" ref="A2:G11" displayName="Table_8" name="Table_8" id="8">
  <tableColumns count="7">
    <tableColumn name="Trial" id="1"/>
    <tableColumn name="Function Tested" id="2"/>
    <tableColumn name="Sample / Data Used" id="3"/>
    <tableColumn name="Function Initiated Successfully?" id="4"/>
    <tableColumn name="Function Completed Successfully?" id="5"/>
    <tableColumn name="Unexpected Error / Warning?" id="6"/>
    <tableColumn name="Notes" id="7"/>
  </tableColumns>
  <tableStyleInfo name="Testability-style" showColumnStripes="0" showFirstColumn="1" showLastColumn="1" showRowStripes="1"/>
</table>
</file>

<file path=xl/tables/table9.xml><?xml version="1.0" encoding="utf-8"?>
<table xmlns="http://schemas.openxmlformats.org/spreadsheetml/2006/main" ref="A2:L22" displayName="Table_9" name="Table_9" id="9">
  <tableColumns count="12">
    <tableColumn name="Sample ID" id="1"/>
    <tableColumn name="Environment" id="2"/>
    <tableColumn name="Test Time" id="3"/>
    <tableColumn name="Lighting Condition" id="4"/>
    <tableColumn name="Direct Sunlight on Scanner?" id="5"/>
    <tableColumn name="Weather Condition" id="6"/>
    <tableColumn name="Prediction Cycle Completed?" id="7"/>
    <tableColumn name="Warning Displayed?" id="8"/>
    <tableColumn name="Scan Rejected?" id="9"/>
    <tableColumn name="Rescan Required?" id="10"/>
    <tableColumn name="Unexpected Error?" id="11"/>
    <tableColumn name="Notes" id="12"/>
  </tableColumns>
  <tableStyleInfo name="Adaptability-style" showColumnStripes="0" showFirstColumn="1" showLastColumn="1" showRowStripes="1"/>
</table>
</file>

<file path=xl/tables/table10.xml><?xml version="1.0" encoding="utf-8"?>
<table xmlns="http://schemas.openxmlformats.org/spreadsheetml/2006/main" ref="A2:H12" displayName="Table_10" name="Table_10" id="10">
  <tableColumns count="8">
    <tableColumn name="Trial" id="1"/>
    <tableColumn name="Power-On Initiated Normally?" id="2"/>
    <tableColumn name="Additional Software Installation Required?" id="3"/>
    <tableColumn name="Additional Configuration Required?" id="4"/>
    <tableColumn name="Manual Program Launch Required?" id="5"/>
    <tableColumn name="GUI Reached Ready-for-Scanning State?" id="6"/>
    <tableColumn name="Unexpected Issue?" id="7"/>
    <tableColumn name="Notes" id="8"/>
  </tableColumns>
  <tableStyleInfo name="Installability-style" showColumnStripes="0" showFirstColumn="1" showLastColumn="1" showRowStripes="1"/>
</table>
</file>

<file path=xl/tables/table11.xml><?xml version="1.0" encoding="utf-8"?>
<table xmlns="http://schemas.openxmlformats.org/spreadsheetml/2006/main" ref="H3:I13" displayName="Table_11" name="Table_11" id="11">
  <tableColumns count="2">
    <tableColumn name="Metric" id="1"/>
    <tableColumn name="Result" id="2"/>
  </tableColumns>
  <tableStyleInfo name="KP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26.38"/>
    <col customWidth="1" min="5" max="5" width="36.75"/>
    <col customWidth="1" min="6" max="6" width="15.75"/>
    <col customWidth="1" min="7" max="7" width="25.13"/>
    <col customWidth="1" min="8" max="8" width="14.0"/>
    <col customWidth="1" min="9" max="9" width="25.63"/>
    <col customWidth="1" min="10" max="10" width="19.25"/>
  </cols>
  <sheetData>
    <row r="1">
      <c r="A1" s="1" t="s">
        <v>2</v>
      </c>
    </row>
    <row r="2">
      <c r="A2" s="2" t="s">
        <v>4</v>
      </c>
      <c r="B2" s="2" t="s">
        <v>6</v>
      </c>
      <c r="C2" s="2" t="s">
        <v>7</v>
      </c>
      <c r="D2" s="2" t="s">
        <v>9</v>
      </c>
      <c r="E2" s="1" t="s">
        <v>10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19</v>
      </c>
    </row>
    <row r="3">
      <c r="A3" s="3" t="s">
        <v>22</v>
      </c>
      <c r="B3" s="3">
        <v>1.0</v>
      </c>
      <c r="C3" s="3" t="s">
        <v>23</v>
      </c>
      <c r="D3" s="3" t="s">
        <v>23</v>
      </c>
      <c r="E3" s="3" t="s">
        <v>26</v>
      </c>
      <c r="F3" s="3" t="s">
        <v>29</v>
      </c>
      <c r="G3" s="3" t="s">
        <v>29</v>
      </c>
      <c r="H3" s="3" t="s">
        <v>29</v>
      </c>
      <c r="I3" s="3" t="s">
        <v>29</v>
      </c>
      <c r="J3" s="5" t="s">
        <v>34</v>
      </c>
    </row>
    <row r="4">
      <c r="A4" s="3" t="s">
        <v>43</v>
      </c>
      <c r="B4" s="3">
        <v>1.0</v>
      </c>
      <c r="C4" s="3" t="s">
        <v>23</v>
      </c>
      <c r="D4" s="3" t="s">
        <v>23</v>
      </c>
      <c r="E4" s="3" t="s">
        <v>26</v>
      </c>
      <c r="F4" s="3" t="s">
        <v>29</v>
      </c>
      <c r="G4" s="3" t="s">
        <v>29</v>
      </c>
      <c r="H4" s="3" t="s">
        <v>29</v>
      </c>
      <c r="I4" s="3" t="s">
        <v>29</v>
      </c>
      <c r="J4" s="5" t="s">
        <v>34</v>
      </c>
    </row>
    <row r="5">
      <c r="A5" s="3" t="s">
        <v>45</v>
      </c>
      <c r="B5" s="3">
        <v>1.0</v>
      </c>
      <c r="C5" s="3" t="s">
        <v>23</v>
      </c>
      <c r="D5" s="3" t="s">
        <v>23</v>
      </c>
      <c r="E5" s="3" t="s">
        <v>26</v>
      </c>
      <c r="F5" s="3" t="s">
        <v>29</v>
      </c>
      <c r="G5" s="3" t="s">
        <v>29</v>
      </c>
      <c r="H5" s="3" t="s">
        <v>29</v>
      </c>
      <c r="I5" s="3" t="s">
        <v>29</v>
      </c>
      <c r="J5" s="5" t="s">
        <v>34</v>
      </c>
    </row>
    <row r="6">
      <c r="A6" s="3" t="s">
        <v>50</v>
      </c>
      <c r="B6" s="3">
        <v>1.0</v>
      </c>
      <c r="C6" s="3" t="s">
        <v>23</v>
      </c>
      <c r="D6" s="3" t="s">
        <v>23</v>
      </c>
      <c r="E6" s="3" t="s">
        <v>26</v>
      </c>
      <c r="F6" s="3" t="s">
        <v>29</v>
      </c>
      <c r="G6" s="3" t="s">
        <v>29</v>
      </c>
      <c r="H6" s="3" t="s">
        <v>29</v>
      </c>
      <c r="I6" s="3" t="s">
        <v>29</v>
      </c>
      <c r="J6" s="5" t="s">
        <v>34</v>
      </c>
    </row>
    <row r="7">
      <c r="A7" s="3" t="s">
        <v>51</v>
      </c>
      <c r="B7" s="3">
        <v>1.0</v>
      </c>
      <c r="C7" s="3" t="s">
        <v>23</v>
      </c>
      <c r="D7" s="3" t="s">
        <v>23</v>
      </c>
      <c r="E7" s="3" t="s">
        <v>26</v>
      </c>
      <c r="F7" s="3" t="s">
        <v>29</v>
      </c>
      <c r="G7" s="3" t="s">
        <v>29</v>
      </c>
      <c r="H7" s="3" t="s">
        <v>29</v>
      </c>
      <c r="I7" s="3" t="s">
        <v>29</v>
      </c>
      <c r="J7" s="5" t="s">
        <v>34</v>
      </c>
    </row>
    <row r="8">
      <c r="A8" s="3" t="s">
        <v>55</v>
      </c>
      <c r="B8" s="3">
        <v>1.0</v>
      </c>
      <c r="C8" s="3" t="s">
        <v>23</v>
      </c>
      <c r="D8" s="3" t="s">
        <v>23</v>
      </c>
      <c r="E8" s="3" t="s">
        <v>26</v>
      </c>
      <c r="F8" s="3" t="s">
        <v>29</v>
      </c>
      <c r="G8" s="3" t="s">
        <v>29</v>
      </c>
      <c r="H8" s="3" t="s">
        <v>29</v>
      </c>
      <c r="I8" s="3" t="s">
        <v>29</v>
      </c>
      <c r="J8" s="5" t="s">
        <v>34</v>
      </c>
    </row>
    <row r="9">
      <c r="A9" s="3" t="s">
        <v>57</v>
      </c>
      <c r="B9" s="3">
        <v>1.0</v>
      </c>
      <c r="C9" s="3" t="s">
        <v>23</v>
      </c>
      <c r="D9" s="3" t="s">
        <v>23</v>
      </c>
      <c r="E9" s="3" t="s">
        <v>26</v>
      </c>
      <c r="F9" s="3" t="s">
        <v>29</v>
      </c>
      <c r="G9" s="3" t="s">
        <v>29</v>
      </c>
      <c r="H9" s="3" t="s">
        <v>29</v>
      </c>
      <c r="I9" s="3" t="s">
        <v>29</v>
      </c>
      <c r="J9" s="5" t="s">
        <v>34</v>
      </c>
    </row>
    <row r="10">
      <c r="A10" s="3" t="s">
        <v>28</v>
      </c>
      <c r="B10" s="3">
        <v>1.0</v>
      </c>
      <c r="C10" s="3" t="s">
        <v>23</v>
      </c>
      <c r="D10" s="3" t="s">
        <v>23</v>
      </c>
      <c r="E10" s="3" t="s">
        <v>26</v>
      </c>
      <c r="F10" s="3" t="s">
        <v>29</v>
      </c>
      <c r="G10" s="3" t="s">
        <v>29</v>
      </c>
      <c r="H10" s="3" t="s">
        <v>29</v>
      </c>
      <c r="I10" s="3" t="s">
        <v>29</v>
      </c>
      <c r="J10" s="5" t="s">
        <v>34</v>
      </c>
    </row>
    <row r="11">
      <c r="A11" s="3" t="s">
        <v>40</v>
      </c>
      <c r="B11" s="3">
        <v>1.0</v>
      </c>
      <c r="C11" s="3" t="s">
        <v>23</v>
      </c>
      <c r="D11" s="3" t="s">
        <v>23</v>
      </c>
      <c r="E11" s="3" t="s">
        <v>26</v>
      </c>
      <c r="F11" s="3" t="s">
        <v>29</v>
      </c>
      <c r="G11" s="3" t="s">
        <v>29</v>
      </c>
      <c r="H11" s="3" t="s">
        <v>29</v>
      </c>
      <c r="I11" s="3" t="s">
        <v>29</v>
      </c>
      <c r="J11" s="5" t="s">
        <v>34</v>
      </c>
    </row>
    <row r="12">
      <c r="A12" s="3" t="s">
        <v>41</v>
      </c>
      <c r="B12" s="3">
        <v>1.0</v>
      </c>
      <c r="C12" s="3" t="s">
        <v>23</v>
      </c>
      <c r="D12" s="3" t="s">
        <v>23</v>
      </c>
      <c r="E12" s="3" t="s">
        <v>26</v>
      </c>
      <c r="F12" s="3" t="s">
        <v>29</v>
      </c>
      <c r="G12" s="3" t="s">
        <v>29</v>
      </c>
      <c r="H12" s="3" t="s">
        <v>29</v>
      </c>
      <c r="I12" s="3" t="s">
        <v>29</v>
      </c>
      <c r="J12" s="5" t="s">
        <v>34</v>
      </c>
    </row>
    <row r="13">
      <c r="A13" s="3" t="s">
        <v>42</v>
      </c>
      <c r="B13" s="3">
        <v>2.0</v>
      </c>
      <c r="C13" s="3" t="s">
        <v>23</v>
      </c>
      <c r="D13" s="3" t="s">
        <v>23</v>
      </c>
      <c r="E13" s="3" t="s">
        <v>26</v>
      </c>
      <c r="F13" s="3" t="s">
        <v>29</v>
      </c>
      <c r="G13" s="3" t="s">
        <v>29</v>
      </c>
      <c r="H13" s="3" t="s">
        <v>29</v>
      </c>
      <c r="I13" s="3" t="s">
        <v>29</v>
      </c>
      <c r="J13" s="5" t="s">
        <v>34</v>
      </c>
    </row>
    <row r="14">
      <c r="A14" s="3" t="s">
        <v>44</v>
      </c>
      <c r="B14" s="3">
        <v>2.0</v>
      </c>
      <c r="C14" s="3" t="s">
        <v>23</v>
      </c>
      <c r="D14" s="3" t="s">
        <v>23</v>
      </c>
      <c r="E14" s="3" t="s">
        <v>26</v>
      </c>
      <c r="F14" s="3" t="s">
        <v>29</v>
      </c>
      <c r="G14" s="3" t="s">
        <v>29</v>
      </c>
      <c r="H14" s="3" t="s">
        <v>29</v>
      </c>
      <c r="I14" s="3" t="s">
        <v>29</v>
      </c>
      <c r="J14" s="5" t="s">
        <v>34</v>
      </c>
    </row>
    <row r="15">
      <c r="A15" s="3" t="s">
        <v>65</v>
      </c>
      <c r="B15" s="3">
        <v>2.0</v>
      </c>
      <c r="C15" s="3" t="s">
        <v>23</v>
      </c>
      <c r="D15" s="3" t="s">
        <v>23</v>
      </c>
      <c r="E15" s="3" t="s">
        <v>26</v>
      </c>
      <c r="F15" s="3" t="s">
        <v>29</v>
      </c>
      <c r="G15" s="3" t="s">
        <v>29</v>
      </c>
      <c r="H15" s="3" t="s">
        <v>29</v>
      </c>
      <c r="I15" s="3" t="s">
        <v>29</v>
      </c>
      <c r="J15" s="5" t="s">
        <v>34</v>
      </c>
    </row>
    <row r="16">
      <c r="A16" s="3" t="s">
        <v>66</v>
      </c>
      <c r="B16" s="3">
        <v>2.0</v>
      </c>
      <c r="C16" s="3" t="s">
        <v>23</v>
      </c>
      <c r="D16" s="3" t="s">
        <v>23</v>
      </c>
      <c r="E16" s="3" t="s">
        <v>26</v>
      </c>
      <c r="F16" s="3" t="s">
        <v>29</v>
      </c>
      <c r="G16" s="3" t="s">
        <v>29</v>
      </c>
      <c r="H16" s="3" t="s">
        <v>29</v>
      </c>
      <c r="I16" s="3" t="s">
        <v>29</v>
      </c>
      <c r="J16" s="5" t="s">
        <v>34</v>
      </c>
    </row>
    <row r="17">
      <c r="A17" s="3" t="s">
        <v>70</v>
      </c>
      <c r="B17" s="3">
        <v>2.0</v>
      </c>
      <c r="C17" s="3" t="s">
        <v>23</v>
      </c>
      <c r="D17" s="3" t="s">
        <v>23</v>
      </c>
      <c r="E17" s="3" t="s">
        <v>26</v>
      </c>
      <c r="F17" s="3" t="s">
        <v>29</v>
      </c>
      <c r="G17" s="3" t="s">
        <v>29</v>
      </c>
      <c r="H17" s="3" t="s">
        <v>29</v>
      </c>
      <c r="I17" s="3" t="s">
        <v>29</v>
      </c>
      <c r="J17" s="5" t="s">
        <v>34</v>
      </c>
    </row>
    <row r="18">
      <c r="A18" s="3" t="s">
        <v>72</v>
      </c>
      <c r="B18" s="3">
        <v>2.0</v>
      </c>
      <c r="C18" s="3" t="s">
        <v>23</v>
      </c>
      <c r="D18" s="3" t="s">
        <v>23</v>
      </c>
      <c r="E18" s="3" t="s">
        <v>26</v>
      </c>
      <c r="F18" s="3" t="s">
        <v>29</v>
      </c>
      <c r="G18" s="3" t="s">
        <v>29</v>
      </c>
      <c r="H18" s="3" t="s">
        <v>29</v>
      </c>
      <c r="I18" s="3" t="s">
        <v>29</v>
      </c>
      <c r="J18" s="5" t="s">
        <v>34</v>
      </c>
    </row>
    <row r="19">
      <c r="A19" s="3" t="s">
        <v>74</v>
      </c>
      <c r="B19" s="3">
        <v>2.0</v>
      </c>
      <c r="C19" s="3" t="s">
        <v>23</v>
      </c>
      <c r="D19" s="3" t="s">
        <v>23</v>
      </c>
      <c r="E19" s="3" t="s">
        <v>26</v>
      </c>
      <c r="F19" s="3" t="s">
        <v>29</v>
      </c>
      <c r="G19" s="3" t="s">
        <v>29</v>
      </c>
      <c r="H19" s="3" t="s">
        <v>29</v>
      </c>
      <c r="I19" s="3" t="s">
        <v>29</v>
      </c>
      <c r="J19" s="5" t="s">
        <v>34</v>
      </c>
    </row>
    <row r="20">
      <c r="A20" s="3" t="s">
        <v>75</v>
      </c>
      <c r="B20" s="3">
        <v>2.0</v>
      </c>
      <c r="C20" s="3" t="s">
        <v>23</v>
      </c>
      <c r="D20" s="3" t="s">
        <v>23</v>
      </c>
      <c r="E20" s="3" t="s">
        <v>26</v>
      </c>
      <c r="F20" s="3" t="s">
        <v>29</v>
      </c>
      <c r="G20" s="3" t="s">
        <v>29</v>
      </c>
      <c r="H20" s="3" t="s">
        <v>29</v>
      </c>
      <c r="I20" s="3" t="s">
        <v>29</v>
      </c>
      <c r="J20" s="5" t="s">
        <v>34</v>
      </c>
    </row>
    <row r="21">
      <c r="A21" s="3" t="s">
        <v>76</v>
      </c>
      <c r="B21" s="3">
        <v>2.0</v>
      </c>
      <c r="C21" s="3" t="s">
        <v>23</v>
      </c>
      <c r="D21" s="3" t="s">
        <v>23</v>
      </c>
      <c r="E21" s="3" t="s">
        <v>26</v>
      </c>
      <c r="F21" s="3" t="s">
        <v>29</v>
      </c>
      <c r="G21" s="3" t="s">
        <v>29</v>
      </c>
      <c r="H21" s="3" t="s">
        <v>29</v>
      </c>
      <c r="I21" s="3" t="s">
        <v>29</v>
      </c>
      <c r="J21" s="5" t="s">
        <v>34</v>
      </c>
    </row>
    <row r="22">
      <c r="A22" s="3" t="s">
        <v>77</v>
      </c>
      <c r="B22" s="3">
        <v>2.0</v>
      </c>
      <c r="C22" s="3" t="s">
        <v>23</v>
      </c>
      <c r="D22" s="3" t="s">
        <v>23</v>
      </c>
      <c r="E22" s="3" t="s">
        <v>26</v>
      </c>
      <c r="F22" s="3" t="s">
        <v>29</v>
      </c>
      <c r="G22" s="3" t="s">
        <v>29</v>
      </c>
      <c r="H22" s="3" t="s">
        <v>29</v>
      </c>
      <c r="I22" s="3" t="s">
        <v>29</v>
      </c>
      <c r="J22" s="5" t="s">
        <v>34</v>
      </c>
    </row>
  </sheetData>
  <mergeCells count="1">
    <mergeCell ref="A1:J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34.63"/>
  </cols>
  <sheetData>
    <row r="1">
      <c r="A1" s="1" t="s">
        <v>0</v>
      </c>
      <c r="D1" s="1"/>
    </row>
    <row r="2">
      <c r="A2" s="2" t="s">
        <v>21</v>
      </c>
      <c r="B2" s="4" t="s">
        <v>24</v>
      </c>
      <c r="C2" s="2" t="s">
        <v>37</v>
      </c>
      <c r="D2" s="1"/>
    </row>
    <row r="3">
      <c r="A3" s="3">
        <v>1.0</v>
      </c>
      <c r="B3" s="6">
        <v>44.23</v>
      </c>
      <c r="C3" s="3" t="s">
        <v>23</v>
      </c>
      <c r="D3" s="8"/>
    </row>
    <row r="4">
      <c r="A4" s="3">
        <v>2.0</v>
      </c>
      <c r="B4" s="6">
        <v>44.12</v>
      </c>
      <c r="C4" s="3" t="s">
        <v>23</v>
      </c>
      <c r="D4" s="8"/>
    </row>
    <row r="5">
      <c r="A5" s="3">
        <v>3.0</v>
      </c>
      <c r="B5" s="6">
        <v>42.92</v>
      </c>
      <c r="C5" s="3" t="s">
        <v>23</v>
      </c>
      <c r="D5" s="8"/>
    </row>
    <row r="6">
      <c r="A6" s="3">
        <v>4.0</v>
      </c>
      <c r="B6" s="6">
        <v>46.23</v>
      </c>
      <c r="C6" s="3" t="s">
        <v>23</v>
      </c>
      <c r="D6" s="8"/>
    </row>
    <row r="7">
      <c r="A7" s="3">
        <v>5.0</v>
      </c>
      <c r="B7" s="10">
        <v>44.7</v>
      </c>
      <c r="C7" s="3" t="s">
        <v>23</v>
      </c>
      <c r="D7" s="8"/>
    </row>
    <row r="8">
      <c r="A8" s="3">
        <v>6.0</v>
      </c>
      <c r="B8" s="6">
        <v>43.88</v>
      </c>
      <c r="C8" s="3" t="s">
        <v>23</v>
      </c>
      <c r="D8" s="8"/>
    </row>
    <row r="9">
      <c r="A9" s="3">
        <v>7.0</v>
      </c>
      <c r="B9" s="6">
        <v>45.16</v>
      </c>
      <c r="C9" s="3" t="s">
        <v>23</v>
      </c>
      <c r="D9" s="8"/>
    </row>
    <row r="10">
      <c r="A10" s="3">
        <v>8.0</v>
      </c>
      <c r="B10" s="6">
        <v>44.35</v>
      </c>
      <c r="C10" s="3" t="s">
        <v>23</v>
      </c>
      <c r="D10" s="8"/>
    </row>
    <row r="11">
      <c r="A11" s="3">
        <v>9.0</v>
      </c>
      <c r="B11" s="6">
        <v>43.51</v>
      </c>
      <c r="C11" s="3" t="s">
        <v>23</v>
      </c>
      <c r="D11" s="8"/>
    </row>
    <row r="12">
      <c r="A12" s="3">
        <v>10.0</v>
      </c>
      <c r="B12" s="6">
        <v>45.02</v>
      </c>
      <c r="C12" s="3" t="s">
        <v>23</v>
      </c>
      <c r="D12" s="8"/>
    </row>
  </sheetData>
  <mergeCells count="1">
    <mergeCell ref="A1:C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38"/>
    <col customWidth="1" min="3" max="3" width="18.13"/>
    <col customWidth="1" min="4" max="4" width="24.75"/>
    <col customWidth="1" min="5" max="5" width="36.25"/>
    <col customWidth="1" min="6" max="6" width="25.0"/>
    <col customWidth="1" min="7" max="7" width="26.38"/>
    <col customWidth="1" min="8" max="8" width="27.75"/>
    <col customWidth="1" min="9" max="9" width="36.13"/>
  </cols>
  <sheetData>
    <row r="1">
      <c r="A1" s="1" t="s">
        <v>1</v>
      </c>
    </row>
    <row r="2">
      <c r="A2" s="2" t="s">
        <v>21</v>
      </c>
      <c r="B2" s="2" t="s">
        <v>25</v>
      </c>
      <c r="C2" s="2" t="s">
        <v>27</v>
      </c>
      <c r="D2" s="1" t="s">
        <v>30</v>
      </c>
      <c r="E2" s="2" t="s">
        <v>31</v>
      </c>
      <c r="F2" s="1" t="s">
        <v>32</v>
      </c>
      <c r="G2" s="2" t="s">
        <v>33</v>
      </c>
      <c r="H2" s="2" t="s">
        <v>35</v>
      </c>
      <c r="I2" s="2" t="s">
        <v>19</v>
      </c>
    </row>
    <row r="3">
      <c r="A3" s="3">
        <v>1.0</v>
      </c>
      <c r="B3" s="5" t="s">
        <v>36</v>
      </c>
      <c r="C3" s="3" t="s">
        <v>26</v>
      </c>
      <c r="D3" s="3" t="s">
        <v>38</v>
      </c>
      <c r="E3" s="3" t="s">
        <v>39</v>
      </c>
      <c r="F3" s="3" t="s">
        <v>29</v>
      </c>
      <c r="G3" s="3" t="s">
        <v>23</v>
      </c>
      <c r="H3" s="3" t="s">
        <v>23</v>
      </c>
      <c r="I3" s="7"/>
    </row>
    <row r="4">
      <c r="A4" s="3">
        <v>2.0</v>
      </c>
      <c r="B4" s="5" t="s">
        <v>36</v>
      </c>
      <c r="C4" s="3" t="s">
        <v>26</v>
      </c>
      <c r="D4" s="3" t="s">
        <v>38</v>
      </c>
      <c r="E4" s="3" t="s">
        <v>39</v>
      </c>
      <c r="F4" s="3" t="s">
        <v>29</v>
      </c>
      <c r="G4" s="3" t="s">
        <v>23</v>
      </c>
      <c r="H4" s="3" t="s">
        <v>23</v>
      </c>
      <c r="I4" s="7"/>
    </row>
    <row r="5">
      <c r="A5" s="3">
        <v>3.0</v>
      </c>
      <c r="B5" s="5" t="s">
        <v>36</v>
      </c>
      <c r="C5" s="3" t="s">
        <v>26</v>
      </c>
      <c r="D5" s="3" t="s">
        <v>38</v>
      </c>
      <c r="E5" s="3" t="s">
        <v>39</v>
      </c>
      <c r="F5" s="3" t="s">
        <v>29</v>
      </c>
      <c r="G5" s="3" t="s">
        <v>23</v>
      </c>
      <c r="H5" s="3" t="s">
        <v>23</v>
      </c>
      <c r="I5" s="7"/>
    </row>
    <row r="6">
      <c r="A6" s="3">
        <v>4.0</v>
      </c>
      <c r="B6" s="5" t="s">
        <v>36</v>
      </c>
      <c r="C6" s="3" t="s">
        <v>26</v>
      </c>
      <c r="D6" s="3" t="s">
        <v>38</v>
      </c>
      <c r="E6" s="3" t="s">
        <v>39</v>
      </c>
      <c r="F6" s="3" t="s">
        <v>29</v>
      </c>
      <c r="G6" s="3" t="s">
        <v>23</v>
      </c>
      <c r="H6" s="3" t="s">
        <v>23</v>
      </c>
      <c r="I6" s="7"/>
    </row>
    <row r="7">
      <c r="A7" s="3">
        <v>5.0</v>
      </c>
      <c r="B7" s="5" t="s">
        <v>36</v>
      </c>
      <c r="C7" s="3" t="s">
        <v>26</v>
      </c>
      <c r="D7" s="3" t="s">
        <v>38</v>
      </c>
      <c r="E7" s="3" t="s">
        <v>39</v>
      </c>
      <c r="F7" s="3" t="s">
        <v>29</v>
      </c>
      <c r="G7" s="3" t="s">
        <v>23</v>
      </c>
      <c r="H7" s="3" t="s">
        <v>23</v>
      </c>
      <c r="I7" s="7"/>
    </row>
    <row r="8">
      <c r="A8" s="3">
        <v>6.0</v>
      </c>
      <c r="B8" s="5" t="s">
        <v>36</v>
      </c>
      <c r="C8" s="3" t="s">
        <v>26</v>
      </c>
      <c r="D8" s="3" t="s">
        <v>38</v>
      </c>
      <c r="E8" s="3" t="s">
        <v>39</v>
      </c>
      <c r="F8" s="3" t="s">
        <v>29</v>
      </c>
      <c r="G8" s="3" t="s">
        <v>23</v>
      </c>
      <c r="H8" s="3" t="s">
        <v>23</v>
      </c>
      <c r="I8" s="7"/>
    </row>
    <row r="9">
      <c r="A9" s="3">
        <v>7.0</v>
      </c>
      <c r="B9" s="5" t="s">
        <v>36</v>
      </c>
      <c r="C9" s="3" t="s">
        <v>26</v>
      </c>
      <c r="D9" s="3" t="s">
        <v>38</v>
      </c>
      <c r="E9" s="3" t="s">
        <v>39</v>
      </c>
      <c r="F9" s="3" t="s">
        <v>29</v>
      </c>
      <c r="G9" s="3" t="s">
        <v>23</v>
      </c>
      <c r="H9" s="3" t="s">
        <v>23</v>
      </c>
      <c r="I9" s="7"/>
    </row>
    <row r="10">
      <c r="A10" s="3">
        <v>8.0</v>
      </c>
      <c r="B10" s="5" t="s">
        <v>36</v>
      </c>
      <c r="C10" s="3" t="s">
        <v>26</v>
      </c>
      <c r="D10" s="3" t="s">
        <v>38</v>
      </c>
      <c r="E10" s="3" t="s">
        <v>39</v>
      </c>
      <c r="F10" s="3" t="s">
        <v>29</v>
      </c>
      <c r="G10" s="3" t="s">
        <v>23</v>
      </c>
      <c r="H10" s="3" t="s">
        <v>23</v>
      </c>
      <c r="I10" s="7"/>
    </row>
    <row r="11">
      <c r="A11" s="3">
        <v>9.0</v>
      </c>
      <c r="B11" s="5" t="s">
        <v>36</v>
      </c>
      <c r="C11" s="3" t="s">
        <v>26</v>
      </c>
      <c r="D11" s="3" t="s">
        <v>38</v>
      </c>
      <c r="E11" s="3" t="s">
        <v>39</v>
      </c>
      <c r="F11" s="3" t="s">
        <v>29</v>
      </c>
      <c r="G11" s="3" t="s">
        <v>23</v>
      </c>
      <c r="H11" s="3" t="s">
        <v>23</v>
      </c>
      <c r="I11" s="7"/>
    </row>
    <row r="12">
      <c r="A12" s="3">
        <v>10.0</v>
      </c>
      <c r="B12" s="5" t="s">
        <v>36</v>
      </c>
      <c r="C12" s="3" t="s">
        <v>26</v>
      </c>
      <c r="D12" s="3" t="s">
        <v>38</v>
      </c>
      <c r="E12" s="3" t="s">
        <v>39</v>
      </c>
      <c r="F12" s="3" t="s">
        <v>29</v>
      </c>
      <c r="G12" s="3" t="s">
        <v>23</v>
      </c>
      <c r="H12" s="3" t="s">
        <v>23</v>
      </c>
      <c r="I12" s="7"/>
    </row>
    <row r="13">
      <c r="A13" s="3">
        <v>11.0</v>
      </c>
      <c r="B13" s="5" t="s">
        <v>46</v>
      </c>
      <c r="C13" s="3" t="s">
        <v>47</v>
      </c>
      <c r="D13" s="3" t="s">
        <v>48</v>
      </c>
      <c r="E13" s="3" t="s">
        <v>49</v>
      </c>
      <c r="F13" s="3" t="s">
        <v>29</v>
      </c>
      <c r="G13" s="3" t="s">
        <v>23</v>
      </c>
      <c r="H13" s="3" t="s">
        <v>23</v>
      </c>
      <c r="I13" s="7"/>
    </row>
    <row r="14">
      <c r="A14" s="3">
        <v>12.0</v>
      </c>
      <c r="B14" s="5" t="s">
        <v>46</v>
      </c>
      <c r="C14" s="3" t="s">
        <v>47</v>
      </c>
      <c r="D14" s="3" t="s">
        <v>48</v>
      </c>
      <c r="E14" s="3" t="s">
        <v>49</v>
      </c>
      <c r="F14" s="3" t="s">
        <v>29</v>
      </c>
      <c r="G14" s="3" t="s">
        <v>23</v>
      </c>
      <c r="H14" s="3" t="s">
        <v>23</v>
      </c>
      <c r="I14" s="7"/>
    </row>
    <row r="15">
      <c r="A15" s="3">
        <v>13.0</v>
      </c>
      <c r="B15" s="5" t="s">
        <v>46</v>
      </c>
      <c r="C15" s="3" t="s">
        <v>52</v>
      </c>
      <c r="D15" s="3" t="s">
        <v>53</v>
      </c>
      <c r="E15" s="8" t="s">
        <v>54</v>
      </c>
      <c r="F15" s="3" t="s">
        <v>23</v>
      </c>
      <c r="G15" s="3" t="s">
        <v>23</v>
      </c>
      <c r="H15" s="3" t="s">
        <v>23</v>
      </c>
      <c r="I15" s="11" t="s">
        <v>56</v>
      </c>
    </row>
    <row r="16">
      <c r="A16" s="3">
        <v>14.0</v>
      </c>
      <c r="B16" s="5" t="s">
        <v>46</v>
      </c>
      <c r="C16" s="3" t="s">
        <v>52</v>
      </c>
      <c r="D16" s="3" t="s">
        <v>53</v>
      </c>
      <c r="E16" s="3" t="s">
        <v>58</v>
      </c>
      <c r="F16" s="3" t="s">
        <v>29</v>
      </c>
      <c r="G16" s="3" t="s">
        <v>23</v>
      </c>
      <c r="H16" s="3" t="s">
        <v>23</v>
      </c>
      <c r="I16" s="12"/>
    </row>
    <row r="17">
      <c r="A17" s="3">
        <v>15.0</v>
      </c>
      <c r="B17" s="5" t="s">
        <v>46</v>
      </c>
      <c r="C17" s="3" t="s">
        <v>59</v>
      </c>
      <c r="D17" s="3" t="s">
        <v>60</v>
      </c>
      <c r="E17" s="3" t="s">
        <v>49</v>
      </c>
      <c r="F17" s="3" t="s">
        <v>29</v>
      </c>
      <c r="G17" s="3" t="s">
        <v>23</v>
      </c>
      <c r="H17" s="3" t="s">
        <v>23</v>
      </c>
      <c r="I17" s="7"/>
    </row>
    <row r="18">
      <c r="A18" s="3">
        <v>16.0</v>
      </c>
      <c r="B18" s="5" t="s">
        <v>46</v>
      </c>
      <c r="C18" s="3" t="s">
        <v>59</v>
      </c>
      <c r="D18" s="3" t="s">
        <v>60</v>
      </c>
      <c r="E18" s="3" t="s">
        <v>49</v>
      </c>
      <c r="F18" s="3" t="s">
        <v>29</v>
      </c>
      <c r="G18" s="3" t="s">
        <v>23</v>
      </c>
      <c r="H18" s="3" t="s">
        <v>23</v>
      </c>
      <c r="I18" s="7"/>
    </row>
    <row r="19">
      <c r="A19" s="3">
        <v>17.0</v>
      </c>
      <c r="B19" s="5" t="s">
        <v>46</v>
      </c>
      <c r="C19" s="3" t="s">
        <v>61</v>
      </c>
      <c r="D19" s="3" t="s">
        <v>62</v>
      </c>
      <c r="E19" s="3" t="s">
        <v>49</v>
      </c>
      <c r="F19" s="3" t="s">
        <v>29</v>
      </c>
      <c r="G19" s="3" t="s">
        <v>23</v>
      </c>
      <c r="H19" s="3" t="s">
        <v>23</v>
      </c>
      <c r="I19" s="7"/>
    </row>
    <row r="20">
      <c r="A20" s="3">
        <v>18.0</v>
      </c>
      <c r="B20" s="5" t="s">
        <v>46</v>
      </c>
      <c r="C20" s="3" t="s">
        <v>61</v>
      </c>
      <c r="D20" s="3" t="s">
        <v>62</v>
      </c>
      <c r="E20" s="3" t="s">
        <v>49</v>
      </c>
      <c r="F20" s="3" t="s">
        <v>29</v>
      </c>
      <c r="G20" s="3" t="s">
        <v>23</v>
      </c>
      <c r="H20" s="3" t="s">
        <v>23</v>
      </c>
      <c r="I20" s="7"/>
    </row>
    <row r="21">
      <c r="A21" s="3">
        <v>19.0</v>
      </c>
      <c r="B21" s="5" t="s">
        <v>46</v>
      </c>
      <c r="C21" s="3" t="s">
        <v>63</v>
      </c>
      <c r="D21" s="3" t="s">
        <v>64</v>
      </c>
      <c r="E21" s="3" t="s">
        <v>49</v>
      </c>
      <c r="F21" s="3" t="s">
        <v>29</v>
      </c>
      <c r="G21" s="3" t="s">
        <v>23</v>
      </c>
      <c r="H21" s="3" t="s">
        <v>23</v>
      </c>
      <c r="I21" s="7"/>
    </row>
    <row r="22">
      <c r="A22" s="3">
        <v>20.0</v>
      </c>
      <c r="B22" s="5" t="s">
        <v>46</v>
      </c>
      <c r="C22" s="3" t="s">
        <v>63</v>
      </c>
      <c r="D22" s="3" t="s">
        <v>64</v>
      </c>
      <c r="E22" s="3" t="s">
        <v>49</v>
      </c>
      <c r="F22" s="3" t="s">
        <v>29</v>
      </c>
      <c r="G22" s="3" t="s">
        <v>23</v>
      </c>
      <c r="H22" s="3" t="s">
        <v>23</v>
      </c>
      <c r="I22" s="7"/>
    </row>
    <row r="23">
      <c r="A23" s="3">
        <v>21.0</v>
      </c>
      <c r="B23" s="5" t="s">
        <v>67</v>
      </c>
      <c r="C23" s="3" t="s">
        <v>22</v>
      </c>
      <c r="D23" s="3" t="s">
        <v>68</v>
      </c>
      <c r="E23" s="3" t="s">
        <v>69</v>
      </c>
      <c r="F23" s="3" t="s">
        <v>23</v>
      </c>
      <c r="G23" s="3" t="s">
        <v>23</v>
      </c>
      <c r="H23" s="3" t="s">
        <v>23</v>
      </c>
      <c r="I23" s="11" t="s">
        <v>71</v>
      </c>
    </row>
    <row r="24">
      <c r="A24" s="3">
        <v>22.0</v>
      </c>
      <c r="B24" s="5" t="s">
        <v>67</v>
      </c>
      <c r="C24" s="3" t="s">
        <v>43</v>
      </c>
      <c r="D24" s="3" t="s">
        <v>68</v>
      </c>
      <c r="E24" s="3" t="s">
        <v>49</v>
      </c>
      <c r="F24" s="3" t="s">
        <v>29</v>
      </c>
      <c r="G24" s="3" t="s">
        <v>23</v>
      </c>
      <c r="H24" s="3" t="s">
        <v>23</v>
      </c>
      <c r="I24" s="12" t="s">
        <v>73</v>
      </c>
    </row>
    <row r="25">
      <c r="A25" s="3">
        <v>23.0</v>
      </c>
      <c r="B25" s="5" t="s">
        <v>67</v>
      </c>
      <c r="C25" s="3" t="s">
        <v>45</v>
      </c>
      <c r="D25" s="3" t="s">
        <v>68</v>
      </c>
      <c r="E25" s="3" t="s">
        <v>58</v>
      </c>
      <c r="F25" s="3" t="s">
        <v>29</v>
      </c>
      <c r="G25" s="3" t="s">
        <v>23</v>
      </c>
      <c r="H25" s="3" t="s">
        <v>23</v>
      </c>
      <c r="I25" s="12" t="s">
        <v>73</v>
      </c>
    </row>
    <row r="26">
      <c r="A26" s="3">
        <v>24.0</v>
      </c>
      <c r="B26" s="5" t="s">
        <v>67</v>
      </c>
      <c r="C26" s="3" t="s">
        <v>50</v>
      </c>
      <c r="D26" s="3" t="s">
        <v>68</v>
      </c>
      <c r="E26" s="3" t="s">
        <v>49</v>
      </c>
      <c r="F26" s="3" t="s">
        <v>29</v>
      </c>
      <c r="G26" s="3" t="s">
        <v>23</v>
      </c>
      <c r="H26" s="3" t="s">
        <v>23</v>
      </c>
      <c r="I26" s="12" t="s">
        <v>73</v>
      </c>
    </row>
    <row r="27">
      <c r="A27" s="3">
        <v>25.0</v>
      </c>
      <c r="B27" s="5" t="s">
        <v>67</v>
      </c>
      <c r="C27" s="3" t="s">
        <v>51</v>
      </c>
      <c r="D27" s="3" t="s">
        <v>68</v>
      </c>
      <c r="E27" s="3" t="s">
        <v>49</v>
      </c>
      <c r="F27" s="3" t="s">
        <v>29</v>
      </c>
      <c r="G27" s="3" t="s">
        <v>23</v>
      </c>
      <c r="H27" s="3" t="s">
        <v>23</v>
      </c>
      <c r="I27" s="12" t="s">
        <v>73</v>
      </c>
    </row>
    <row r="28">
      <c r="A28" s="3">
        <v>26.0</v>
      </c>
      <c r="B28" s="5" t="s">
        <v>67</v>
      </c>
      <c r="C28" s="3" t="s">
        <v>55</v>
      </c>
      <c r="D28" s="3" t="s">
        <v>68</v>
      </c>
      <c r="E28" s="3" t="s">
        <v>54</v>
      </c>
      <c r="F28" s="3" t="s">
        <v>23</v>
      </c>
      <c r="G28" s="3" t="s">
        <v>23</v>
      </c>
      <c r="H28" s="3" t="s">
        <v>23</v>
      </c>
      <c r="I28" s="12" t="s">
        <v>71</v>
      </c>
    </row>
    <row r="29">
      <c r="A29" s="3">
        <v>27.0</v>
      </c>
      <c r="B29" s="5" t="s">
        <v>67</v>
      </c>
      <c r="C29" s="3" t="s">
        <v>57</v>
      </c>
      <c r="D29" s="3" t="s">
        <v>68</v>
      </c>
      <c r="E29" s="3" t="s">
        <v>49</v>
      </c>
      <c r="F29" s="3" t="s">
        <v>29</v>
      </c>
      <c r="G29" s="3" t="s">
        <v>23</v>
      </c>
      <c r="H29" s="3" t="s">
        <v>23</v>
      </c>
      <c r="I29" s="12" t="s">
        <v>73</v>
      </c>
    </row>
    <row r="30">
      <c r="A30" s="3">
        <v>28.0</v>
      </c>
      <c r="B30" s="5" t="s">
        <v>67</v>
      </c>
      <c r="C30" s="3" t="s">
        <v>28</v>
      </c>
      <c r="D30" s="3" t="s">
        <v>68</v>
      </c>
      <c r="E30" s="3" t="s">
        <v>49</v>
      </c>
      <c r="F30" s="3" t="s">
        <v>29</v>
      </c>
      <c r="G30" s="3" t="s">
        <v>23</v>
      </c>
      <c r="H30" s="3" t="s">
        <v>23</v>
      </c>
      <c r="I30" s="12" t="s">
        <v>73</v>
      </c>
    </row>
    <row r="31">
      <c r="A31" s="3">
        <v>29.0</v>
      </c>
      <c r="B31" s="5" t="s">
        <v>67</v>
      </c>
      <c r="C31" s="3" t="s">
        <v>40</v>
      </c>
      <c r="D31" s="3" t="s">
        <v>68</v>
      </c>
      <c r="E31" s="3" t="s">
        <v>58</v>
      </c>
      <c r="F31" s="3" t="s">
        <v>29</v>
      </c>
      <c r="G31" s="3" t="s">
        <v>23</v>
      </c>
      <c r="H31" s="3" t="s">
        <v>23</v>
      </c>
      <c r="I31" s="12" t="s">
        <v>73</v>
      </c>
    </row>
    <row r="32">
      <c r="A32" s="3">
        <v>30.0</v>
      </c>
      <c r="B32" s="5" t="s">
        <v>67</v>
      </c>
      <c r="C32" s="3" t="s">
        <v>41</v>
      </c>
      <c r="D32" s="3" t="s">
        <v>68</v>
      </c>
      <c r="E32" s="3" t="s">
        <v>49</v>
      </c>
      <c r="F32" s="3" t="s">
        <v>29</v>
      </c>
      <c r="G32" s="3" t="s">
        <v>23</v>
      </c>
      <c r="H32" s="3" t="s">
        <v>23</v>
      </c>
      <c r="I32" s="12" t="s">
        <v>73</v>
      </c>
    </row>
    <row r="33">
      <c r="A33" s="3">
        <v>31.0</v>
      </c>
      <c r="B33" s="13" t="s">
        <v>78</v>
      </c>
      <c r="C33" s="3" t="s">
        <v>22</v>
      </c>
      <c r="D33" s="3" t="s">
        <v>68</v>
      </c>
      <c r="E33" s="3" t="s">
        <v>79</v>
      </c>
      <c r="F33" s="3" t="s">
        <v>23</v>
      </c>
      <c r="G33" s="3" t="s">
        <v>23</v>
      </c>
      <c r="H33" s="3" t="s">
        <v>23</v>
      </c>
      <c r="I33" s="11" t="s">
        <v>80</v>
      </c>
    </row>
    <row r="34">
      <c r="A34" s="3">
        <v>32.0</v>
      </c>
      <c r="B34" s="13" t="s">
        <v>78</v>
      </c>
      <c r="C34" s="3" t="s">
        <v>43</v>
      </c>
      <c r="D34" s="3" t="s">
        <v>68</v>
      </c>
      <c r="E34" s="3" t="s">
        <v>79</v>
      </c>
      <c r="F34" s="3" t="s">
        <v>23</v>
      </c>
      <c r="G34" s="3" t="s">
        <v>23</v>
      </c>
      <c r="H34" s="3" t="s">
        <v>23</v>
      </c>
      <c r="I34" s="11" t="s">
        <v>80</v>
      </c>
    </row>
    <row r="35">
      <c r="A35" s="3">
        <v>33.0</v>
      </c>
      <c r="B35" s="13" t="s">
        <v>78</v>
      </c>
      <c r="C35" s="3" t="s">
        <v>45</v>
      </c>
      <c r="D35" s="3" t="s">
        <v>68</v>
      </c>
      <c r="E35" s="3" t="s">
        <v>54</v>
      </c>
      <c r="F35" s="3" t="s">
        <v>23</v>
      </c>
      <c r="G35" s="3" t="s">
        <v>23</v>
      </c>
      <c r="H35" s="3" t="s">
        <v>23</v>
      </c>
      <c r="I35" s="11" t="s">
        <v>80</v>
      </c>
    </row>
    <row r="36">
      <c r="A36" s="3">
        <v>34.0</v>
      </c>
      <c r="B36" s="13" t="s">
        <v>78</v>
      </c>
      <c r="C36" s="3" t="s">
        <v>50</v>
      </c>
      <c r="D36" s="3" t="s">
        <v>68</v>
      </c>
      <c r="E36" s="3" t="s">
        <v>54</v>
      </c>
      <c r="F36" s="3" t="s">
        <v>23</v>
      </c>
      <c r="G36" s="3" t="s">
        <v>23</v>
      </c>
      <c r="H36" s="3" t="s">
        <v>23</v>
      </c>
      <c r="I36" s="11" t="s">
        <v>80</v>
      </c>
    </row>
    <row r="37">
      <c r="A37" s="3">
        <v>35.0</v>
      </c>
      <c r="B37" s="13" t="s">
        <v>78</v>
      </c>
      <c r="C37" s="3" t="s">
        <v>51</v>
      </c>
      <c r="D37" s="3" t="s">
        <v>68</v>
      </c>
      <c r="E37" s="3" t="s">
        <v>81</v>
      </c>
      <c r="F37" s="3" t="s">
        <v>23</v>
      </c>
      <c r="G37" s="3" t="s">
        <v>23</v>
      </c>
      <c r="H37" s="3" t="s">
        <v>23</v>
      </c>
      <c r="I37" s="11" t="s">
        <v>80</v>
      </c>
    </row>
    <row r="38">
      <c r="A38" s="3">
        <v>36.0</v>
      </c>
      <c r="B38" s="13" t="s">
        <v>78</v>
      </c>
      <c r="C38" s="3" t="s">
        <v>55</v>
      </c>
      <c r="D38" s="3" t="s">
        <v>68</v>
      </c>
      <c r="E38" s="3" t="s">
        <v>69</v>
      </c>
      <c r="F38" s="3" t="s">
        <v>23</v>
      </c>
      <c r="G38" s="3" t="s">
        <v>23</v>
      </c>
      <c r="H38" s="3" t="s">
        <v>23</v>
      </c>
      <c r="I38" s="11" t="s">
        <v>80</v>
      </c>
    </row>
    <row r="39">
      <c r="A39" s="3">
        <v>37.0</v>
      </c>
      <c r="B39" s="13" t="s">
        <v>78</v>
      </c>
      <c r="C39" s="3" t="s">
        <v>57</v>
      </c>
      <c r="D39" s="3" t="s">
        <v>68</v>
      </c>
      <c r="E39" s="3" t="s">
        <v>69</v>
      </c>
      <c r="F39" s="3" t="s">
        <v>23</v>
      </c>
      <c r="G39" s="3" t="s">
        <v>23</v>
      </c>
      <c r="H39" s="3" t="s">
        <v>23</v>
      </c>
      <c r="I39" s="11" t="s">
        <v>80</v>
      </c>
    </row>
    <row r="40">
      <c r="A40" s="3">
        <v>38.0</v>
      </c>
      <c r="B40" s="13" t="s">
        <v>78</v>
      </c>
      <c r="C40" s="3" t="s">
        <v>28</v>
      </c>
      <c r="D40" s="3" t="s">
        <v>68</v>
      </c>
      <c r="E40" s="3" t="s">
        <v>69</v>
      </c>
      <c r="F40" s="3" t="s">
        <v>23</v>
      </c>
      <c r="G40" s="3" t="s">
        <v>23</v>
      </c>
      <c r="H40" s="3" t="s">
        <v>23</v>
      </c>
      <c r="I40" s="11" t="s">
        <v>80</v>
      </c>
    </row>
    <row r="41">
      <c r="A41" s="3">
        <v>39.0</v>
      </c>
      <c r="B41" s="13" t="s">
        <v>78</v>
      </c>
      <c r="C41" s="3" t="s">
        <v>40</v>
      </c>
      <c r="D41" s="3" t="s">
        <v>68</v>
      </c>
      <c r="E41" s="3" t="s">
        <v>69</v>
      </c>
      <c r="F41" s="3" t="s">
        <v>23</v>
      </c>
      <c r="G41" s="3" t="s">
        <v>23</v>
      </c>
      <c r="H41" s="3" t="s">
        <v>23</v>
      </c>
      <c r="I41" s="11" t="s">
        <v>80</v>
      </c>
    </row>
    <row r="42">
      <c r="A42" s="3">
        <v>40.0</v>
      </c>
      <c r="B42" s="13" t="s">
        <v>78</v>
      </c>
      <c r="C42" s="3" t="s">
        <v>41</v>
      </c>
      <c r="D42" s="3" t="s">
        <v>68</v>
      </c>
      <c r="E42" s="3" t="s">
        <v>69</v>
      </c>
      <c r="F42" s="3" t="s">
        <v>23</v>
      </c>
      <c r="G42" s="3" t="s">
        <v>23</v>
      </c>
      <c r="H42" s="3" t="s">
        <v>23</v>
      </c>
      <c r="I42" s="11" t="s">
        <v>80</v>
      </c>
    </row>
    <row r="43">
      <c r="A43" s="3">
        <v>41.0</v>
      </c>
      <c r="B43" s="13" t="s">
        <v>78</v>
      </c>
      <c r="C43" s="3" t="s">
        <v>42</v>
      </c>
      <c r="D43" s="3" t="s">
        <v>68</v>
      </c>
      <c r="E43" s="3" t="s">
        <v>69</v>
      </c>
      <c r="F43" s="3" t="s">
        <v>23</v>
      </c>
      <c r="G43" s="3" t="s">
        <v>23</v>
      </c>
      <c r="H43" s="3" t="s">
        <v>23</v>
      </c>
      <c r="I43" s="11" t="s">
        <v>80</v>
      </c>
    </row>
    <row r="44">
      <c r="A44" s="3">
        <v>42.0</v>
      </c>
      <c r="B44" s="13" t="s">
        <v>78</v>
      </c>
      <c r="C44" s="3" t="s">
        <v>44</v>
      </c>
      <c r="D44" s="3" t="s">
        <v>68</v>
      </c>
      <c r="E44" s="3" t="s">
        <v>81</v>
      </c>
      <c r="F44" s="3" t="s">
        <v>23</v>
      </c>
      <c r="G44" s="3" t="s">
        <v>23</v>
      </c>
      <c r="H44" s="3" t="s">
        <v>23</v>
      </c>
      <c r="I44" s="11" t="s">
        <v>80</v>
      </c>
    </row>
    <row r="45">
      <c r="A45" s="3">
        <v>43.0</v>
      </c>
      <c r="B45" s="13" t="s">
        <v>78</v>
      </c>
      <c r="C45" s="3" t="s">
        <v>65</v>
      </c>
      <c r="D45" s="3" t="s">
        <v>68</v>
      </c>
      <c r="E45" s="3" t="s">
        <v>81</v>
      </c>
      <c r="F45" s="3" t="s">
        <v>23</v>
      </c>
      <c r="G45" s="3" t="s">
        <v>23</v>
      </c>
      <c r="H45" s="3" t="s">
        <v>23</v>
      </c>
      <c r="I45" s="11" t="s">
        <v>80</v>
      </c>
    </row>
    <row r="46">
      <c r="A46" s="3">
        <v>44.0</v>
      </c>
      <c r="B46" s="13" t="s">
        <v>78</v>
      </c>
      <c r="C46" s="3" t="s">
        <v>66</v>
      </c>
      <c r="D46" s="3" t="s">
        <v>68</v>
      </c>
      <c r="E46" s="3" t="s">
        <v>81</v>
      </c>
      <c r="F46" s="3" t="s">
        <v>23</v>
      </c>
      <c r="G46" s="3" t="s">
        <v>23</v>
      </c>
      <c r="H46" s="3" t="s">
        <v>23</v>
      </c>
      <c r="I46" s="11" t="s">
        <v>80</v>
      </c>
    </row>
    <row r="47">
      <c r="A47" s="3">
        <v>45.0</v>
      </c>
      <c r="B47" s="13" t="s">
        <v>78</v>
      </c>
      <c r="C47" s="3" t="s">
        <v>70</v>
      </c>
      <c r="D47" s="3" t="s">
        <v>68</v>
      </c>
      <c r="E47" s="3" t="s">
        <v>79</v>
      </c>
      <c r="F47" s="3" t="s">
        <v>23</v>
      </c>
      <c r="G47" s="3" t="s">
        <v>23</v>
      </c>
      <c r="H47" s="3" t="s">
        <v>23</v>
      </c>
      <c r="I47" s="11" t="s">
        <v>80</v>
      </c>
    </row>
    <row r="48">
      <c r="A48" s="3">
        <v>46.0</v>
      </c>
      <c r="B48" s="13" t="s">
        <v>78</v>
      </c>
      <c r="C48" s="3" t="s">
        <v>72</v>
      </c>
      <c r="D48" s="3" t="s">
        <v>68</v>
      </c>
      <c r="E48" s="3" t="s">
        <v>81</v>
      </c>
      <c r="F48" s="3" t="s">
        <v>23</v>
      </c>
      <c r="G48" s="3" t="s">
        <v>23</v>
      </c>
      <c r="H48" s="3" t="s">
        <v>23</v>
      </c>
      <c r="I48" s="11" t="s">
        <v>80</v>
      </c>
    </row>
    <row r="49">
      <c r="A49" s="3">
        <v>47.0</v>
      </c>
      <c r="B49" s="13" t="s">
        <v>78</v>
      </c>
      <c r="C49" s="3" t="s">
        <v>74</v>
      </c>
      <c r="D49" s="3" t="s">
        <v>68</v>
      </c>
      <c r="E49" s="3" t="s">
        <v>79</v>
      </c>
      <c r="F49" s="3" t="s">
        <v>23</v>
      </c>
      <c r="G49" s="3" t="s">
        <v>23</v>
      </c>
      <c r="H49" s="3" t="s">
        <v>23</v>
      </c>
      <c r="I49" s="11" t="s">
        <v>80</v>
      </c>
    </row>
    <row r="50">
      <c r="A50" s="3">
        <v>48.0</v>
      </c>
      <c r="B50" s="13" t="s">
        <v>78</v>
      </c>
      <c r="C50" s="3" t="s">
        <v>75</v>
      </c>
      <c r="D50" s="3" t="s">
        <v>68</v>
      </c>
      <c r="E50" s="3" t="s">
        <v>79</v>
      </c>
      <c r="F50" s="3" t="s">
        <v>23</v>
      </c>
      <c r="G50" s="3" t="s">
        <v>23</v>
      </c>
      <c r="H50" s="3" t="s">
        <v>23</v>
      </c>
      <c r="I50" s="11" t="s">
        <v>80</v>
      </c>
    </row>
    <row r="51">
      <c r="A51" s="3">
        <v>49.0</v>
      </c>
      <c r="B51" s="13" t="s">
        <v>78</v>
      </c>
      <c r="C51" s="3" t="s">
        <v>76</v>
      </c>
      <c r="D51" s="3" t="s">
        <v>68</v>
      </c>
      <c r="E51" s="3" t="s">
        <v>81</v>
      </c>
      <c r="F51" s="3" t="s">
        <v>23</v>
      </c>
      <c r="G51" s="3" t="s">
        <v>23</v>
      </c>
      <c r="H51" s="3" t="s">
        <v>23</v>
      </c>
      <c r="I51" s="11" t="s">
        <v>80</v>
      </c>
    </row>
    <row r="52">
      <c r="A52" s="3">
        <v>50.0</v>
      </c>
      <c r="B52" s="13" t="s">
        <v>78</v>
      </c>
      <c r="C52" s="3" t="s">
        <v>77</v>
      </c>
      <c r="D52" s="3" t="s">
        <v>68</v>
      </c>
      <c r="E52" s="3" t="s">
        <v>79</v>
      </c>
      <c r="F52" s="3" t="s">
        <v>23</v>
      </c>
      <c r="G52" s="3" t="s">
        <v>23</v>
      </c>
      <c r="H52" s="3" t="s">
        <v>23</v>
      </c>
      <c r="I52" s="11" t="s">
        <v>80</v>
      </c>
    </row>
  </sheetData>
  <mergeCells count="1">
    <mergeCell ref="A1:I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31.5"/>
    <col customWidth="1" min="4" max="4" width="30.5"/>
    <col customWidth="1" min="5" max="5" width="33.13"/>
    <col customWidth="1" min="6" max="6" width="26.38"/>
    <col customWidth="1" min="7" max="7" width="37.5"/>
    <col customWidth="1" min="8" max="8" width="24.0"/>
  </cols>
  <sheetData>
    <row r="1">
      <c r="A1" s="1" t="s">
        <v>3</v>
      </c>
    </row>
    <row r="2">
      <c r="A2" s="2" t="s">
        <v>5</v>
      </c>
      <c r="B2" s="2" t="s">
        <v>8</v>
      </c>
      <c r="C2" s="2" t="s">
        <v>11</v>
      </c>
      <c r="D2" s="2" t="s">
        <v>13</v>
      </c>
      <c r="E2" s="2" t="s">
        <v>15</v>
      </c>
      <c r="F2" s="2" t="s">
        <v>17</v>
      </c>
      <c r="G2" s="2" t="s">
        <v>20</v>
      </c>
      <c r="H2" s="2" t="s">
        <v>19</v>
      </c>
    </row>
    <row r="3">
      <c r="A3" s="3">
        <v>1.0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28</v>
      </c>
      <c r="G3" s="3" t="s">
        <v>23</v>
      </c>
      <c r="H3" s="9"/>
    </row>
    <row r="4">
      <c r="A4" s="3">
        <v>2.0</v>
      </c>
      <c r="B4" s="3" t="s">
        <v>23</v>
      </c>
      <c r="C4" s="3" t="s">
        <v>23</v>
      </c>
      <c r="D4" s="3" t="s">
        <v>23</v>
      </c>
      <c r="E4" s="3" t="s">
        <v>23</v>
      </c>
      <c r="F4" s="3" t="s">
        <v>40</v>
      </c>
      <c r="G4" s="3" t="s">
        <v>23</v>
      </c>
      <c r="H4" s="9"/>
    </row>
    <row r="5">
      <c r="A5" s="3">
        <v>3.0</v>
      </c>
      <c r="B5" s="3" t="s">
        <v>23</v>
      </c>
      <c r="C5" s="3" t="s">
        <v>23</v>
      </c>
      <c r="D5" s="3" t="s">
        <v>23</v>
      </c>
      <c r="E5" s="3" t="s">
        <v>23</v>
      </c>
      <c r="F5" s="3" t="s">
        <v>41</v>
      </c>
      <c r="G5" s="3" t="s">
        <v>23</v>
      </c>
      <c r="H5" s="9"/>
    </row>
    <row r="6">
      <c r="A6" s="3">
        <v>4.0</v>
      </c>
      <c r="B6" s="3" t="s">
        <v>23</v>
      </c>
      <c r="C6" s="3" t="s">
        <v>23</v>
      </c>
      <c r="D6" s="3" t="s">
        <v>23</v>
      </c>
      <c r="E6" s="3" t="s">
        <v>23</v>
      </c>
      <c r="F6" s="3" t="s">
        <v>42</v>
      </c>
      <c r="G6" s="3" t="s">
        <v>23</v>
      </c>
      <c r="H6" s="9"/>
    </row>
    <row r="7">
      <c r="A7" s="3">
        <v>5.0</v>
      </c>
      <c r="B7" s="3" t="s">
        <v>23</v>
      </c>
      <c r="C7" s="3" t="s">
        <v>23</v>
      </c>
      <c r="D7" s="3" t="s">
        <v>23</v>
      </c>
      <c r="E7" s="3" t="s">
        <v>23</v>
      </c>
      <c r="F7" s="3" t="s">
        <v>44</v>
      </c>
      <c r="G7" s="3" t="s">
        <v>23</v>
      </c>
      <c r="H7" s="9"/>
    </row>
  </sheetData>
  <mergeCells count="1">
    <mergeCell ref="A1:H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58.88"/>
    <col customWidth="1" min="3" max="3" width="58.13"/>
    <col customWidth="1" min="6" max="6" width="11.25"/>
    <col customWidth="1" min="7" max="7" width="15.38"/>
    <col customWidth="1" min="8" max="8" width="13.88"/>
    <col customWidth="1" min="9" max="10" width="24.25"/>
  </cols>
  <sheetData>
    <row r="1">
      <c r="A1" s="1" t="s">
        <v>82</v>
      </c>
    </row>
    <row r="2">
      <c r="A2" s="2" t="s">
        <v>5</v>
      </c>
      <c r="B2" s="2" t="s">
        <v>83</v>
      </c>
      <c r="C2" s="2" t="s">
        <v>84</v>
      </c>
      <c r="D2" s="14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91</v>
      </c>
      <c r="K2" s="2" t="s">
        <v>92</v>
      </c>
    </row>
    <row r="3">
      <c r="A3" s="3">
        <v>1.0</v>
      </c>
      <c r="B3" s="3" t="s">
        <v>93</v>
      </c>
      <c r="C3" s="3" t="s">
        <v>93</v>
      </c>
      <c r="D3" s="15" t="str">
        <f t="shared" ref="D3:D7" si="1">IF(EXACT(B3,C3),"MATCH","MISMATCH")</f>
        <v>MATCH</v>
      </c>
      <c r="E3" s="3">
        <v>22.0</v>
      </c>
      <c r="F3" s="3">
        <v>22.0</v>
      </c>
      <c r="G3" s="3">
        <v>3779.0</v>
      </c>
      <c r="H3" s="3">
        <v>3779.0</v>
      </c>
      <c r="I3" s="3" t="s">
        <v>23</v>
      </c>
      <c r="J3" s="3">
        <v>0.0</v>
      </c>
      <c r="K3" s="15" t="str">
        <f t="shared" ref="K3:K7" si="2">IF(AND(D3="MATCH",E3=F3,G3=H3,LOWER(I3)="yes",J3=0),"PASS","FAIL")</f>
        <v>PASS</v>
      </c>
    </row>
    <row r="4">
      <c r="A4" s="3">
        <v>2.0</v>
      </c>
      <c r="B4" s="3" t="s">
        <v>93</v>
      </c>
      <c r="C4" s="3" t="s">
        <v>93</v>
      </c>
      <c r="D4" s="15" t="str">
        <f t="shared" si="1"/>
        <v>MATCH</v>
      </c>
      <c r="E4" s="3">
        <v>22.0</v>
      </c>
      <c r="F4" s="3">
        <v>22.0</v>
      </c>
      <c r="G4" s="3">
        <v>3779.0</v>
      </c>
      <c r="H4" s="3">
        <v>3779.0</v>
      </c>
      <c r="I4" s="3" t="s">
        <v>23</v>
      </c>
      <c r="J4" s="3">
        <v>0.0</v>
      </c>
      <c r="K4" s="15" t="str">
        <f t="shared" si="2"/>
        <v>PASS</v>
      </c>
    </row>
    <row r="5">
      <c r="A5" s="3">
        <v>3.0</v>
      </c>
      <c r="B5" s="3" t="s">
        <v>93</v>
      </c>
      <c r="C5" s="3" t="s">
        <v>93</v>
      </c>
      <c r="D5" s="15" t="str">
        <f t="shared" si="1"/>
        <v>MATCH</v>
      </c>
      <c r="E5" s="3">
        <v>22.0</v>
      </c>
      <c r="F5" s="3">
        <v>22.0</v>
      </c>
      <c r="G5" s="3">
        <v>3779.0</v>
      </c>
      <c r="H5" s="3">
        <v>3779.0</v>
      </c>
      <c r="I5" s="3" t="s">
        <v>23</v>
      </c>
      <c r="J5" s="3">
        <v>0.0</v>
      </c>
      <c r="K5" s="15" t="str">
        <f t="shared" si="2"/>
        <v>PASS</v>
      </c>
    </row>
    <row r="6">
      <c r="A6" s="3">
        <v>4.0</v>
      </c>
      <c r="B6" s="3" t="s">
        <v>93</v>
      </c>
      <c r="C6" s="3" t="s">
        <v>93</v>
      </c>
      <c r="D6" s="15" t="str">
        <f t="shared" si="1"/>
        <v>MATCH</v>
      </c>
      <c r="E6" s="3">
        <v>22.0</v>
      </c>
      <c r="F6" s="3">
        <v>22.0</v>
      </c>
      <c r="G6" s="3">
        <v>3779.0</v>
      </c>
      <c r="H6" s="3">
        <v>3779.0</v>
      </c>
      <c r="I6" s="3" t="s">
        <v>23</v>
      </c>
      <c r="J6" s="3">
        <v>0.0</v>
      </c>
      <c r="K6" s="15" t="str">
        <f t="shared" si="2"/>
        <v>PASS</v>
      </c>
    </row>
    <row r="7">
      <c r="A7" s="3">
        <v>5.0</v>
      </c>
      <c r="B7" s="3" t="s">
        <v>93</v>
      </c>
      <c r="C7" s="3" t="s">
        <v>93</v>
      </c>
      <c r="D7" s="15" t="str">
        <f t="shared" si="1"/>
        <v>MATCH</v>
      </c>
      <c r="E7" s="3">
        <v>22.0</v>
      </c>
      <c r="F7" s="3">
        <v>22.0</v>
      </c>
      <c r="G7" s="3">
        <v>3779.0</v>
      </c>
      <c r="H7" s="3">
        <v>3779.0</v>
      </c>
      <c r="I7" s="3" t="s">
        <v>23</v>
      </c>
      <c r="J7" s="3">
        <v>0.0</v>
      </c>
      <c r="K7" s="15" t="str">
        <f t="shared" si="2"/>
        <v>PASS</v>
      </c>
    </row>
  </sheetData>
  <mergeCells count="1">
    <mergeCell ref="A1:K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0"/>
    <col customWidth="1" min="3" max="3" width="21.13"/>
    <col customWidth="1" min="4" max="4" width="22.63"/>
    <col customWidth="1" min="5" max="5" width="39.88"/>
    <col customWidth="1" min="6" max="6" width="36.5"/>
    <col customWidth="1" min="7" max="7" width="27.88"/>
  </cols>
  <sheetData>
    <row r="1">
      <c r="A1" s="1" t="s">
        <v>94</v>
      </c>
    </row>
    <row r="2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19</v>
      </c>
    </row>
    <row r="3">
      <c r="A3" s="8" t="s">
        <v>101</v>
      </c>
      <c r="B3" s="8" t="s">
        <v>102</v>
      </c>
      <c r="C3" s="13" t="s">
        <v>103</v>
      </c>
      <c r="D3" s="11" t="s">
        <v>104</v>
      </c>
      <c r="E3" s="8" t="s">
        <v>23</v>
      </c>
      <c r="F3" s="11" t="s">
        <v>105</v>
      </c>
      <c r="G3" s="11" t="s">
        <v>106</v>
      </c>
    </row>
    <row r="4">
      <c r="A4" s="8" t="s">
        <v>107</v>
      </c>
      <c r="B4" s="8" t="s">
        <v>102</v>
      </c>
      <c r="C4" s="13" t="s">
        <v>108</v>
      </c>
      <c r="D4" s="11" t="s">
        <v>109</v>
      </c>
      <c r="E4" s="8" t="s">
        <v>23</v>
      </c>
      <c r="F4" s="11" t="s">
        <v>110</v>
      </c>
      <c r="G4" s="11" t="s">
        <v>111</v>
      </c>
    </row>
    <row r="5">
      <c r="A5" s="8" t="s">
        <v>112</v>
      </c>
      <c r="B5" s="8" t="s">
        <v>102</v>
      </c>
      <c r="C5" s="13" t="s">
        <v>113</v>
      </c>
      <c r="D5" s="11" t="s">
        <v>114</v>
      </c>
      <c r="E5" s="8" t="s">
        <v>23</v>
      </c>
      <c r="F5" s="11" t="s">
        <v>115</v>
      </c>
      <c r="G5" s="11" t="s">
        <v>116</v>
      </c>
    </row>
    <row r="6">
      <c r="A6" s="8" t="s">
        <v>117</v>
      </c>
      <c r="B6" s="8" t="s">
        <v>102</v>
      </c>
      <c r="C6" s="13" t="s">
        <v>118</v>
      </c>
      <c r="D6" s="11" t="s">
        <v>119</v>
      </c>
      <c r="E6" s="8" t="s">
        <v>120</v>
      </c>
      <c r="F6" s="11" t="s">
        <v>121</v>
      </c>
      <c r="G6" s="11" t="s">
        <v>122</v>
      </c>
    </row>
    <row r="7">
      <c r="A7" s="8" t="s">
        <v>123</v>
      </c>
      <c r="B7" s="8" t="s">
        <v>102</v>
      </c>
      <c r="C7" s="13" t="s">
        <v>124</v>
      </c>
      <c r="D7" s="11" t="s">
        <v>125</v>
      </c>
      <c r="E7" s="8" t="s">
        <v>126</v>
      </c>
      <c r="F7" s="11" t="s">
        <v>127</v>
      </c>
      <c r="G7" s="11" t="s">
        <v>128</v>
      </c>
    </row>
    <row r="8">
      <c r="A8" s="3" t="s">
        <v>129</v>
      </c>
      <c r="B8" s="3" t="s">
        <v>102</v>
      </c>
      <c r="C8" s="5" t="s">
        <v>130</v>
      </c>
      <c r="D8" s="12" t="s">
        <v>131</v>
      </c>
      <c r="E8" s="3" t="s">
        <v>126</v>
      </c>
      <c r="F8" s="12" t="s">
        <v>132</v>
      </c>
      <c r="G8" s="12" t="s">
        <v>133</v>
      </c>
    </row>
    <row r="9">
      <c r="A9" s="3" t="s">
        <v>134</v>
      </c>
      <c r="B9" s="3" t="s">
        <v>102</v>
      </c>
      <c r="C9" s="5" t="s">
        <v>135</v>
      </c>
      <c r="D9" s="12" t="s">
        <v>136</v>
      </c>
      <c r="E9" s="3" t="s">
        <v>137</v>
      </c>
      <c r="F9" s="12" t="s">
        <v>138</v>
      </c>
      <c r="G9" s="12" t="s">
        <v>139</v>
      </c>
    </row>
    <row r="10">
      <c r="A10" s="3" t="s">
        <v>140</v>
      </c>
      <c r="B10" s="3" t="s">
        <v>102</v>
      </c>
      <c r="C10" s="12" t="s">
        <v>141</v>
      </c>
      <c r="D10" s="12" t="s">
        <v>142</v>
      </c>
      <c r="E10" s="3" t="s">
        <v>137</v>
      </c>
      <c r="F10" s="12" t="s">
        <v>143</v>
      </c>
      <c r="G10" s="12" t="s">
        <v>144</v>
      </c>
    </row>
    <row r="11">
      <c r="A11" s="3" t="s">
        <v>145</v>
      </c>
      <c r="B11" s="3" t="s">
        <v>146</v>
      </c>
      <c r="C11" s="5" t="s">
        <v>147</v>
      </c>
      <c r="D11" s="12" t="s">
        <v>148</v>
      </c>
      <c r="E11" s="16" t="s">
        <v>149</v>
      </c>
      <c r="F11" s="12" t="s">
        <v>150</v>
      </c>
      <c r="G11" s="12" t="s">
        <v>151</v>
      </c>
    </row>
    <row r="12">
      <c r="A12" s="3" t="s">
        <v>152</v>
      </c>
      <c r="B12" s="3" t="s">
        <v>146</v>
      </c>
      <c r="C12" s="12" t="s">
        <v>153</v>
      </c>
      <c r="D12" s="12" t="s">
        <v>154</v>
      </c>
      <c r="E12" s="16" t="s">
        <v>23</v>
      </c>
      <c r="F12" s="12" t="s">
        <v>155</v>
      </c>
      <c r="G12" s="12" t="s">
        <v>156</v>
      </c>
    </row>
    <row r="13">
      <c r="A13" s="3" t="s">
        <v>157</v>
      </c>
      <c r="B13" s="3" t="s">
        <v>146</v>
      </c>
      <c r="C13" s="12" t="s">
        <v>158</v>
      </c>
      <c r="D13" s="12" t="s">
        <v>159</v>
      </c>
      <c r="E13" s="16" t="s">
        <v>149</v>
      </c>
      <c r="F13" s="12" t="s">
        <v>160</v>
      </c>
      <c r="G13" s="12" t="s">
        <v>161</v>
      </c>
    </row>
    <row r="14">
      <c r="A14" s="3" t="s">
        <v>162</v>
      </c>
      <c r="B14" s="3" t="s">
        <v>146</v>
      </c>
      <c r="C14" s="12" t="s">
        <v>163</v>
      </c>
      <c r="D14" s="12" t="s">
        <v>164</v>
      </c>
      <c r="E14" s="16" t="s">
        <v>149</v>
      </c>
      <c r="F14" s="12" t="s">
        <v>165</v>
      </c>
      <c r="G14" s="12" t="s">
        <v>166</v>
      </c>
    </row>
  </sheetData>
  <mergeCells count="1">
    <mergeCell ref="A1:G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63"/>
    <col customWidth="1" min="3" max="3" width="26.63"/>
    <col customWidth="1" min="4" max="4" width="26.75"/>
    <col customWidth="1" min="5" max="5" width="25.75"/>
    <col customWidth="1" min="6" max="6" width="28.63"/>
    <col customWidth="1" min="7" max="7" width="31.25"/>
    <col customWidth="1" min="8" max="8" width="24.5"/>
    <col customWidth="1" min="9" max="9" width="21.38"/>
    <col customWidth="1" min="10" max="10" width="23.13"/>
    <col customWidth="1" min="11" max="11" width="19.75"/>
    <col customWidth="1" min="12" max="12" width="16.25"/>
  </cols>
  <sheetData>
    <row r="1">
      <c r="A1" s="1" t="s">
        <v>167</v>
      </c>
    </row>
    <row r="2">
      <c r="A2" s="1" t="s">
        <v>168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178</v>
      </c>
      <c r="J2" s="1" t="s">
        <v>180</v>
      </c>
      <c r="K2" s="1" t="s">
        <v>182</v>
      </c>
      <c r="L2" s="2" t="s">
        <v>19</v>
      </c>
    </row>
    <row r="3">
      <c r="A3" s="13" t="s">
        <v>185</v>
      </c>
      <c r="B3" s="8">
        <v>1.0</v>
      </c>
      <c r="C3" s="13" t="s">
        <v>187</v>
      </c>
      <c r="D3" s="8" t="s">
        <v>188</v>
      </c>
      <c r="E3" s="8" t="s">
        <v>189</v>
      </c>
      <c r="F3" s="8" t="s">
        <v>23</v>
      </c>
      <c r="G3" s="8" t="s">
        <v>23</v>
      </c>
      <c r="H3" s="8" t="s">
        <v>23</v>
      </c>
      <c r="I3" s="8" t="s">
        <v>23</v>
      </c>
      <c r="J3" s="8" t="s">
        <v>23</v>
      </c>
      <c r="K3" s="8" t="s">
        <v>29</v>
      </c>
      <c r="L3" s="9"/>
    </row>
    <row r="4">
      <c r="A4" s="13" t="s">
        <v>185</v>
      </c>
      <c r="B4" s="8">
        <v>2.0</v>
      </c>
      <c r="C4" s="13" t="s">
        <v>187</v>
      </c>
      <c r="D4" s="8" t="s">
        <v>188</v>
      </c>
      <c r="E4" s="8" t="s">
        <v>189</v>
      </c>
      <c r="F4" s="8" t="s">
        <v>23</v>
      </c>
      <c r="G4" s="8" t="s">
        <v>23</v>
      </c>
      <c r="H4" s="8" t="s">
        <v>23</v>
      </c>
      <c r="I4" s="8" t="s">
        <v>23</v>
      </c>
      <c r="J4" s="8" t="s">
        <v>23</v>
      </c>
      <c r="K4" s="8" t="s">
        <v>29</v>
      </c>
      <c r="L4" s="9"/>
    </row>
    <row r="5">
      <c r="A5" s="13" t="s">
        <v>192</v>
      </c>
      <c r="B5" s="8">
        <v>1.0</v>
      </c>
      <c r="C5" s="13" t="s">
        <v>194</v>
      </c>
      <c r="D5" s="8">
        <v>0.6</v>
      </c>
      <c r="E5" s="8">
        <v>0.9</v>
      </c>
      <c r="F5" s="8" t="s">
        <v>23</v>
      </c>
      <c r="G5" s="8" t="s">
        <v>23</v>
      </c>
      <c r="H5" s="8" t="s">
        <v>23</v>
      </c>
      <c r="I5" s="8" t="s">
        <v>23</v>
      </c>
      <c r="J5" s="8" t="s">
        <v>23</v>
      </c>
      <c r="K5" s="8" t="s">
        <v>29</v>
      </c>
      <c r="L5" s="9"/>
    </row>
    <row r="6">
      <c r="A6" s="5" t="s">
        <v>192</v>
      </c>
      <c r="B6" s="3">
        <v>2.0</v>
      </c>
      <c r="C6" s="13" t="s">
        <v>194</v>
      </c>
      <c r="D6" s="3">
        <v>0.6</v>
      </c>
      <c r="E6" s="3">
        <v>0.9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8" t="s">
        <v>29</v>
      </c>
      <c r="L6" s="9"/>
    </row>
    <row r="7">
      <c r="A7" s="5" t="s">
        <v>196</v>
      </c>
      <c r="B7" s="3">
        <v>1.0</v>
      </c>
      <c r="C7" s="5" t="s">
        <v>197</v>
      </c>
      <c r="D7" s="3">
        <v>10.0</v>
      </c>
      <c r="E7" s="3">
        <v>5.0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 t="s">
        <v>29</v>
      </c>
      <c r="L7" s="9"/>
    </row>
    <row r="8">
      <c r="A8" s="5" t="s">
        <v>196</v>
      </c>
      <c r="B8" s="3">
        <v>2.0</v>
      </c>
      <c r="C8" s="5" t="s">
        <v>197</v>
      </c>
      <c r="D8" s="3">
        <v>10.0</v>
      </c>
      <c r="E8" s="3">
        <v>5.0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 t="s">
        <v>29</v>
      </c>
      <c r="L8" s="9"/>
    </row>
  </sheetData>
  <mergeCells count="1">
    <mergeCell ref="A1:L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0.0"/>
    <col customWidth="1" min="4" max="4" width="27.25"/>
    <col customWidth="1" min="5" max="5" width="29.38"/>
    <col customWidth="1" min="6" max="6" width="28.13"/>
    <col customWidth="1" min="7" max="7" width="20.13"/>
  </cols>
  <sheetData>
    <row r="1">
      <c r="A1" s="1" t="s">
        <v>169</v>
      </c>
    </row>
    <row r="2">
      <c r="A2" s="2" t="s">
        <v>21</v>
      </c>
      <c r="B2" s="2" t="s">
        <v>177</v>
      </c>
      <c r="C2" s="2" t="s">
        <v>179</v>
      </c>
      <c r="D2" s="2" t="s">
        <v>181</v>
      </c>
      <c r="E2" s="1" t="s">
        <v>183</v>
      </c>
      <c r="F2" s="2" t="s">
        <v>184</v>
      </c>
      <c r="G2" s="2" t="s">
        <v>19</v>
      </c>
    </row>
    <row r="3">
      <c r="A3" s="3">
        <v>1.0</v>
      </c>
      <c r="B3" s="5" t="s">
        <v>186</v>
      </c>
      <c r="C3" s="3" t="s">
        <v>22</v>
      </c>
      <c r="D3" s="3" t="s">
        <v>23</v>
      </c>
      <c r="E3" s="3" t="s">
        <v>23</v>
      </c>
      <c r="F3" s="3" t="s">
        <v>29</v>
      </c>
      <c r="G3" s="5" t="s">
        <v>34</v>
      </c>
    </row>
    <row r="4">
      <c r="A4" s="3">
        <v>2.0</v>
      </c>
      <c r="B4" s="5" t="s">
        <v>186</v>
      </c>
      <c r="C4" s="3" t="s">
        <v>22</v>
      </c>
      <c r="D4" s="3" t="s">
        <v>23</v>
      </c>
      <c r="E4" s="3" t="s">
        <v>23</v>
      </c>
      <c r="F4" s="3" t="s">
        <v>29</v>
      </c>
      <c r="G4" s="5" t="s">
        <v>34</v>
      </c>
    </row>
    <row r="5">
      <c r="A5" s="3">
        <v>3.0</v>
      </c>
      <c r="B5" s="5" t="s">
        <v>186</v>
      </c>
      <c r="C5" s="3" t="s">
        <v>22</v>
      </c>
      <c r="D5" s="3" t="s">
        <v>23</v>
      </c>
      <c r="E5" s="3" t="s">
        <v>23</v>
      </c>
      <c r="F5" s="3" t="s">
        <v>29</v>
      </c>
      <c r="G5" s="5" t="s">
        <v>34</v>
      </c>
    </row>
    <row r="6">
      <c r="A6" s="3">
        <v>1.0</v>
      </c>
      <c r="B6" s="5" t="s">
        <v>190</v>
      </c>
      <c r="C6" s="3" t="s">
        <v>191</v>
      </c>
      <c r="D6" s="3" t="s">
        <v>23</v>
      </c>
      <c r="E6" s="3" t="s">
        <v>23</v>
      </c>
      <c r="F6" s="3" t="s">
        <v>29</v>
      </c>
      <c r="G6" s="5" t="s">
        <v>34</v>
      </c>
    </row>
    <row r="7">
      <c r="A7" s="3">
        <v>2.0</v>
      </c>
      <c r="B7" s="5" t="s">
        <v>190</v>
      </c>
      <c r="C7" s="3" t="s">
        <v>191</v>
      </c>
      <c r="D7" s="3" t="s">
        <v>23</v>
      </c>
      <c r="E7" s="3" t="s">
        <v>23</v>
      </c>
      <c r="F7" s="3" t="s">
        <v>29</v>
      </c>
      <c r="G7" s="5" t="s">
        <v>34</v>
      </c>
    </row>
    <row r="8">
      <c r="A8" s="3">
        <v>3.0</v>
      </c>
      <c r="B8" s="5" t="s">
        <v>190</v>
      </c>
      <c r="C8" s="3" t="s">
        <v>191</v>
      </c>
      <c r="D8" s="3" t="s">
        <v>23</v>
      </c>
      <c r="E8" s="3" t="s">
        <v>23</v>
      </c>
      <c r="F8" s="3" t="s">
        <v>29</v>
      </c>
      <c r="G8" s="5" t="s">
        <v>34</v>
      </c>
    </row>
    <row r="9">
      <c r="A9" s="3">
        <v>1.0</v>
      </c>
      <c r="B9" s="5" t="s">
        <v>193</v>
      </c>
      <c r="C9" s="3" t="s">
        <v>26</v>
      </c>
      <c r="D9" s="3" t="s">
        <v>23</v>
      </c>
      <c r="E9" s="3" t="s">
        <v>23</v>
      </c>
      <c r="F9" s="3" t="s">
        <v>29</v>
      </c>
      <c r="G9" s="5" t="s">
        <v>195</v>
      </c>
    </row>
    <row r="10">
      <c r="A10" s="3">
        <v>2.0</v>
      </c>
      <c r="B10" s="5" t="s">
        <v>193</v>
      </c>
      <c r="C10" s="3" t="s">
        <v>26</v>
      </c>
      <c r="D10" s="3" t="s">
        <v>23</v>
      </c>
      <c r="E10" s="3" t="s">
        <v>23</v>
      </c>
      <c r="F10" s="3" t="s">
        <v>29</v>
      </c>
      <c r="G10" s="5" t="s">
        <v>195</v>
      </c>
    </row>
    <row r="11">
      <c r="A11" s="3">
        <v>3.0</v>
      </c>
      <c r="B11" s="5" t="s">
        <v>193</v>
      </c>
      <c r="C11" s="3" t="s">
        <v>26</v>
      </c>
      <c r="D11" s="3" t="s">
        <v>23</v>
      </c>
      <c r="E11" s="3" t="s">
        <v>23</v>
      </c>
      <c r="F11" s="3" t="s">
        <v>29</v>
      </c>
      <c r="G11" s="5" t="s">
        <v>195</v>
      </c>
    </row>
  </sheetData>
  <mergeCells count="1">
    <mergeCell ref="A1:G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15.38"/>
    <col customWidth="1" min="4" max="4" width="22.5"/>
    <col customWidth="1" min="5" max="5" width="26.25"/>
    <col customWidth="1" min="6" max="6" width="21.25"/>
    <col customWidth="1" min="7" max="7" width="28.75"/>
    <col customWidth="1" min="8" max="8" width="19.25"/>
    <col customWidth="1" min="9" max="9" width="18.0"/>
    <col customWidth="1" min="10" max="10" width="19.63"/>
    <col customWidth="1" min="11" max="11" width="18.5"/>
    <col customWidth="1" min="12" max="12" width="26.38"/>
  </cols>
  <sheetData>
    <row r="1">
      <c r="A1" s="1" t="s">
        <v>198</v>
      </c>
    </row>
    <row r="2">
      <c r="A2" s="2" t="s">
        <v>4</v>
      </c>
      <c r="B2" s="2" t="s">
        <v>199</v>
      </c>
      <c r="C2" s="2" t="s">
        <v>200</v>
      </c>
      <c r="D2" s="2" t="s">
        <v>201</v>
      </c>
      <c r="E2" s="2" t="s">
        <v>202</v>
      </c>
      <c r="F2" s="2" t="s">
        <v>203</v>
      </c>
      <c r="G2" s="2" t="s">
        <v>7</v>
      </c>
      <c r="H2" s="2" t="s">
        <v>204</v>
      </c>
      <c r="I2" s="2" t="s">
        <v>205</v>
      </c>
      <c r="J2" s="2" t="s">
        <v>206</v>
      </c>
      <c r="K2" s="2" t="s">
        <v>182</v>
      </c>
      <c r="L2" s="2" t="s">
        <v>19</v>
      </c>
    </row>
    <row r="3">
      <c r="A3" s="3" t="s">
        <v>22</v>
      </c>
      <c r="B3" s="3" t="s">
        <v>207</v>
      </c>
      <c r="C3" s="17">
        <v>0.5375</v>
      </c>
      <c r="D3" s="8" t="s">
        <v>208</v>
      </c>
      <c r="E3" s="3" t="s">
        <v>29</v>
      </c>
      <c r="F3" s="3" t="s">
        <v>26</v>
      </c>
      <c r="G3" s="3" t="s">
        <v>23</v>
      </c>
      <c r="H3" s="3" t="s">
        <v>29</v>
      </c>
      <c r="I3" s="3" t="s">
        <v>29</v>
      </c>
      <c r="J3" s="3" t="s">
        <v>29</v>
      </c>
      <c r="K3" s="3" t="s">
        <v>29</v>
      </c>
      <c r="L3" s="5"/>
    </row>
    <row r="4">
      <c r="A4" s="3" t="s">
        <v>22</v>
      </c>
      <c r="B4" s="3" t="s">
        <v>209</v>
      </c>
      <c r="C4" s="17">
        <v>0.5826388888888889</v>
      </c>
      <c r="D4" s="8" t="s">
        <v>210</v>
      </c>
      <c r="E4" s="3" t="s">
        <v>29</v>
      </c>
      <c r="F4" s="3" t="s">
        <v>211</v>
      </c>
      <c r="G4" s="3" t="s">
        <v>23</v>
      </c>
      <c r="H4" s="3" t="s">
        <v>29</v>
      </c>
      <c r="I4" s="3" t="s">
        <v>29</v>
      </c>
      <c r="J4" s="3" t="s">
        <v>29</v>
      </c>
      <c r="K4" s="3" t="s">
        <v>29</v>
      </c>
      <c r="L4" s="9"/>
    </row>
    <row r="5">
      <c r="A5" s="3" t="s">
        <v>43</v>
      </c>
      <c r="B5" s="3" t="s">
        <v>207</v>
      </c>
      <c r="C5" s="17">
        <v>0.5458333333333333</v>
      </c>
      <c r="D5" s="3" t="s">
        <v>208</v>
      </c>
      <c r="E5" s="3" t="s">
        <v>29</v>
      </c>
      <c r="F5" s="3" t="s">
        <v>26</v>
      </c>
      <c r="G5" s="3" t="s">
        <v>23</v>
      </c>
      <c r="H5" s="3" t="s">
        <v>29</v>
      </c>
      <c r="I5" s="3" t="s">
        <v>29</v>
      </c>
      <c r="J5" s="3" t="s">
        <v>29</v>
      </c>
      <c r="K5" s="3" t="s">
        <v>29</v>
      </c>
      <c r="L5" s="5"/>
    </row>
    <row r="6">
      <c r="A6" s="3" t="s">
        <v>43</v>
      </c>
      <c r="B6" s="3" t="s">
        <v>209</v>
      </c>
      <c r="C6" s="17">
        <v>0.5833333333333334</v>
      </c>
      <c r="D6" s="8" t="s">
        <v>210</v>
      </c>
      <c r="E6" s="3" t="s">
        <v>29</v>
      </c>
      <c r="F6" s="3" t="s">
        <v>211</v>
      </c>
      <c r="G6" s="3" t="s">
        <v>23</v>
      </c>
      <c r="H6" s="3" t="s">
        <v>29</v>
      </c>
      <c r="I6" s="3" t="s">
        <v>29</v>
      </c>
      <c r="J6" s="3" t="s">
        <v>29</v>
      </c>
      <c r="K6" s="3" t="s">
        <v>29</v>
      </c>
      <c r="L6" s="9"/>
    </row>
    <row r="7">
      <c r="A7" s="3" t="s">
        <v>45</v>
      </c>
      <c r="B7" s="3" t="s">
        <v>207</v>
      </c>
      <c r="C7" s="17">
        <v>0.5472222222222223</v>
      </c>
      <c r="D7" s="3" t="s">
        <v>208</v>
      </c>
      <c r="E7" s="3" t="s">
        <v>29</v>
      </c>
      <c r="F7" s="3" t="s">
        <v>26</v>
      </c>
      <c r="G7" s="3" t="s">
        <v>23</v>
      </c>
      <c r="H7" s="3" t="s">
        <v>29</v>
      </c>
      <c r="I7" s="3" t="s">
        <v>29</v>
      </c>
      <c r="J7" s="3" t="s">
        <v>29</v>
      </c>
      <c r="K7" s="3" t="s">
        <v>29</v>
      </c>
      <c r="L7" s="5"/>
    </row>
    <row r="8">
      <c r="A8" s="3" t="s">
        <v>45</v>
      </c>
      <c r="B8" s="3" t="s">
        <v>209</v>
      </c>
      <c r="C8" s="17">
        <v>0.5840277777777778</v>
      </c>
      <c r="D8" s="8" t="s">
        <v>210</v>
      </c>
      <c r="E8" s="3" t="s">
        <v>29</v>
      </c>
      <c r="F8" s="3" t="s">
        <v>211</v>
      </c>
      <c r="G8" s="3" t="s">
        <v>23</v>
      </c>
      <c r="H8" s="3" t="s">
        <v>29</v>
      </c>
      <c r="I8" s="3" t="s">
        <v>29</v>
      </c>
      <c r="J8" s="3" t="s">
        <v>29</v>
      </c>
      <c r="K8" s="3" t="s">
        <v>29</v>
      </c>
      <c r="L8" s="9"/>
    </row>
    <row r="9">
      <c r="A9" s="3" t="s">
        <v>50</v>
      </c>
      <c r="B9" s="3" t="s">
        <v>207</v>
      </c>
      <c r="C9" s="17">
        <v>0.5520833333333334</v>
      </c>
      <c r="D9" s="3" t="s">
        <v>208</v>
      </c>
      <c r="E9" s="3" t="s">
        <v>29</v>
      </c>
      <c r="F9" s="3" t="s">
        <v>26</v>
      </c>
      <c r="G9" s="3" t="s">
        <v>23</v>
      </c>
      <c r="H9" s="3" t="s">
        <v>29</v>
      </c>
      <c r="I9" s="3" t="s">
        <v>29</v>
      </c>
      <c r="J9" s="3" t="s">
        <v>29</v>
      </c>
      <c r="K9" s="3" t="s">
        <v>29</v>
      </c>
      <c r="L9" s="5"/>
    </row>
    <row r="10">
      <c r="A10" s="3" t="s">
        <v>50</v>
      </c>
      <c r="B10" s="3" t="s">
        <v>209</v>
      </c>
      <c r="C10" s="17">
        <v>0.5847222222222223</v>
      </c>
      <c r="D10" s="8" t="s">
        <v>210</v>
      </c>
      <c r="E10" s="3" t="s">
        <v>29</v>
      </c>
      <c r="F10" s="3" t="s">
        <v>211</v>
      </c>
      <c r="G10" s="3" t="s">
        <v>23</v>
      </c>
      <c r="H10" s="3" t="s">
        <v>29</v>
      </c>
      <c r="I10" s="3" t="s">
        <v>29</v>
      </c>
      <c r="J10" s="3" t="s">
        <v>29</v>
      </c>
      <c r="K10" s="3" t="s">
        <v>29</v>
      </c>
      <c r="L10" s="9"/>
    </row>
    <row r="11">
      <c r="A11" s="3" t="s">
        <v>51</v>
      </c>
      <c r="B11" s="3" t="s">
        <v>207</v>
      </c>
      <c r="C11" s="17">
        <v>0.5527777777777778</v>
      </c>
      <c r="D11" s="3" t="s">
        <v>208</v>
      </c>
      <c r="E11" s="3" t="s">
        <v>29</v>
      </c>
      <c r="F11" s="3" t="s">
        <v>26</v>
      </c>
      <c r="G11" s="3" t="s">
        <v>23</v>
      </c>
      <c r="H11" s="3" t="s">
        <v>29</v>
      </c>
      <c r="I11" s="3" t="s">
        <v>29</v>
      </c>
      <c r="J11" s="3" t="s">
        <v>29</v>
      </c>
      <c r="K11" s="3" t="s">
        <v>29</v>
      </c>
      <c r="L11" s="5"/>
    </row>
    <row r="12">
      <c r="A12" s="3" t="s">
        <v>51</v>
      </c>
      <c r="B12" s="3" t="s">
        <v>209</v>
      </c>
      <c r="C12" s="17">
        <v>0.5854166666666667</v>
      </c>
      <c r="D12" s="8" t="s">
        <v>210</v>
      </c>
      <c r="E12" s="3" t="s">
        <v>29</v>
      </c>
      <c r="F12" s="3" t="s">
        <v>211</v>
      </c>
      <c r="G12" s="3" t="s">
        <v>23</v>
      </c>
      <c r="H12" s="3" t="s">
        <v>29</v>
      </c>
      <c r="I12" s="3" t="s">
        <v>29</v>
      </c>
      <c r="J12" s="3" t="s">
        <v>29</v>
      </c>
      <c r="K12" s="3" t="s">
        <v>29</v>
      </c>
      <c r="L12" s="9"/>
    </row>
    <row r="13">
      <c r="A13" s="3" t="s">
        <v>55</v>
      </c>
      <c r="B13" s="3" t="s">
        <v>207</v>
      </c>
      <c r="C13" s="17">
        <v>0.6034722222222222</v>
      </c>
      <c r="D13" s="3" t="s">
        <v>208</v>
      </c>
      <c r="E13" s="3" t="s">
        <v>29</v>
      </c>
      <c r="F13" s="3" t="s">
        <v>26</v>
      </c>
      <c r="G13" s="3" t="s">
        <v>23</v>
      </c>
      <c r="H13" s="3" t="s">
        <v>29</v>
      </c>
      <c r="I13" s="3" t="s">
        <v>29</v>
      </c>
      <c r="J13" s="3" t="s">
        <v>29</v>
      </c>
      <c r="K13" s="3" t="s">
        <v>29</v>
      </c>
      <c r="L13" s="9"/>
    </row>
    <row r="14">
      <c r="A14" s="3" t="s">
        <v>55</v>
      </c>
      <c r="B14" s="3" t="s">
        <v>209</v>
      </c>
      <c r="C14" s="17">
        <v>0.5861111111111111</v>
      </c>
      <c r="D14" s="8" t="s">
        <v>210</v>
      </c>
      <c r="E14" s="3" t="s">
        <v>29</v>
      </c>
      <c r="F14" s="3" t="s">
        <v>211</v>
      </c>
      <c r="G14" s="3" t="s">
        <v>23</v>
      </c>
      <c r="H14" s="3" t="s">
        <v>29</v>
      </c>
      <c r="I14" s="3" t="s">
        <v>29</v>
      </c>
      <c r="J14" s="3" t="s">
        <v>29</v>
      </c>
      <c r="K14" s="3" t="s">
        <v>29</v>
      </c>
      <c r="L14" s="9"/>
    </row>
    <row r="15">
      <c r="A15" s="3" t="s">
        <v>57</v>
      </c>
      <c r="B15" s="3" t="s">
        <v>207</v>
      </c>
      <c r="C15" s="17">
        <v>0.6048611111111111</v>
      </c>
      <c r="D15" s="3" t="s">
        <v>208</v>
      </c>
      <c r="E15" s="3" t="s">
        <v>29</v>
      </c>
      <c r="F15" s="3" t="s">
        <v>26</v>
      </c>
      <c r="G15" s="3" t="s">
        <v>23</v>
      </c>
      <c r="H15" s="3" t="s">
        <v>29</v>
      </c>
      <c r="I15" s="3" t="s">
        <v>29</v>
      </c>
      <c r="J15" s="3" t="s">
        <v>29</v>
      </c>
      <c r="K15" s="3" t="s">
        <v>29</v>
      </c>
      <c r="L15" s="9"/>
    </row>
    <row r="16">
      <c r="A16" s="3" t="s">
        <v>57</v>
      </c>
      <c r="B16" s="3" t="s">
        <v>209</v>
      </c>
      <c r="C16" s="17">
        <v>0.5868055555555556</v>
      </c>
      <c r="D16" s="8" t="s">
        <v>210</v>
      </c>
      <c r="E16" s="3" t="s">
        <v>29</v>
      </c>
      <c r="F16" s="3" t="s">
        <v>211</v>
      </c>
      <c r="G16" s="3" t="s">
        <v>23</v>
      </c>
      <c r="H16" s="3" t="s">
        <v>29</v>
      </c>
      <c r="I16" s="3" t="s">
        <v>29</v>
      </c>
      <c r="J16" s="3" t="s">
        <v>29</v>
      </c>
      <c r="K16" s="3" t="s">
        <v>29</v>
      </c>
      <c r="L16" s="9"/>
    </row>
    <row r="17">
      <c r="A17" s="3" t="s">
        <v>28</v>
      </c>
      <c r="B17" s="3" t="s">
        <v>207</v>
      </c>
      <c r="C17" s="17">
        <v>0.6069444444444444</v>
      </c>
      <c r="D17" s="3" t="s">
        <v>208</v>
      </c>
      <c r="E17" s="3" t="s">
        <v>29</v>
      </c>
      <c r="F17" s="3" t="s">
        <v>26</v>
      </c>
      <c r="G17" s="3" t="s">
        <v>23</v>
      </c>
      <c r="H17" s="3" t="s">
        <v>29</v>
      </c>
      <c r="I17" s="3" t="s">
        <v>29</v>
      </c>
      <c r="J17" s="3" t="s">
        <v>29</v>
      </c>
      <c r="K17" s="3" t="s">
        <v>29</v>
      </c>
      <c r="L17" s="9"/>
    </row>
    <row r="18">
      <c r="A18" s="3" t="s">
        <v>28</v>
      </c>
      <c r="B18" s="3" t="s">
        <v>209</v>
      </c>
      <c r="C18" s="17">
        <v>0.5875</v>
      </c>
      <c r="D18" s="8" t="s">
        <v>210</v>
      </c>
      <c r="E18" s="3" t="s">
        <v>29</v>
      </c>
      <c r="F18" s="3" t="s">
        <v>211</v>
      </c>
      <c r="G18" s="3" t="s">
        <v>23</v>
      </c>
      <c r="H18" s="3" t="s">
        <v>29</v>
      </c>
      <c r="I18" s="3" t="s">
        <v>29</v>
      </c>
      <c r="J18" s="3" t="s">
        <v>29</v>
      </c>
      <c r="K18" s="3" t="s">
        <v>29</v>
      </c>
      <c r="L18" s="9"/>
    </row>
    <row r="19">
      <c r="A19" s="3" t="s">
        <v>40</v>
      </c>
      <c r="B19" s="3" t="s">
        <v>207</v>
      </c>
      <c r="C19" s="17">
        <v>0.6090277777777777</v>
      </c>
      <c r="D19" s="3" t="s">
        <v>208</v>
      </c>
      <c r="E19" s="3" t="s">
        <v>29</v>
      </c>
      <c r="F19" s="3" t="s">
        <v>26</v>
      </c>
      <c r="G19" s="3" t="s">
        <v>23</v>
      </c>
      <c r="H19" s="3" t="s">
        <v>29</v>
      </c>
      <c r="I19" s="3" t="s">
        <v>29</v>
      </c>
      <c r="J19" s="3" t="s">
        <v>29</v>
      </c>
      <c r="K19" s="3" t="s">
        <v>29</v>
      </c>
      <c r="L19" s="9"/>
    </row>
    <row r="20">
      <c r="A20" s="3" t="s">
        <v>40</v>
      </c>
      <c r="B20" s="3" t="s">
        <v>209</v>
      </c>
      <c r="C20" s="17">
        <v>0.5881944444444445</v>
      </c>
      <c r="D20" s="8" t="s">
        <v>210</v>
      </c>
      <c r="E20" s="3" t="s">
        <v>29</v>
      </c>
      <c r="F20" s="3" t="s">
        <v>211</v>
      </c>
      <c r="G20" s="3" t="s">
        <v>23</v>
      </c>
      <c r="H20" s="3" t="s">
        <v>29</v>
      </c>
      <c r="I20" s="3" t="s">
        <v>29</v>
      </c>
      <c r="J20" s="3" t="s">
        <v>29</v>
      </c>
      <c r="K20" s="3" t="s">
        <v>29</v>
      </c>
      <c r="L20" s="9"/>
    </row>
    <row r="21">
      <c r="A21" s="3" t="s">
        <v>41</v>
      </c>
      <c r="B21" s="3" t="s">
        <v>207</v>
      </c>
      <c r="C21" s="17">
        <v>0.6104166666666667</v>
      </c>
      <c r="D21" s="3" t="s">
        <v>208</v>
      </c>
      <c r="E21" s="3" t="s">
        <v>29</v>
      </c>
      <c r="F21" s="3" t="s">
        <v>26</v>
      </c>
      <c r="G21" s="3" t="s">
        <v>23</v>
      </c>
      <c r="H21" s="3" t="s">
        <v>29</v>
      </c>
      <c r="I21" s="3" t="s">
        <v>29</v>
      </c>
      <c r="J21" s="3" t="s">
        <v>29</v>
      </c>
      <c r="K21" s="3" t="s">
        <v>29</v>
      </c>
      <c r="L21" s="9"/>
    </row>
    <row r="22">
      <c r="A22" s="3" t="s">
        <v>41</v>
      </c>
      <c r="B22" s="3" t="s">
        <v>209</v>
      </c>
      <c r="C22" s="17">
        <v>0.5888888888888889</v>
      </c>
      <c r="D22" s="8" t="s">
        <v>210</v>
      </c>
      <c r="E22" s="3" t="s">
        <v>29</v>
      </c>
      <c r="F22" s="3" t="s">
        <v>211</v>
      </c>
      <c r="G22" s="3" t="s">
        <v>23</v>
      </c>
      <c r="H22" s="3" t="s">
        <v>29</v>
      </c>
      <c r="I22" s="3" t="s">
        <v>29</v>
      </c>
      <c r="J22" s="3" t="s">
        <v>29</v>
      </c>
      <c r="K22" s="3" t="s">
        <v>29</v>
      </c>
      <c r="L22" s="9"/>
    </row>
  </sheetData>
  <mergeCells count="1">
    <mergeCell ref="A1:L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36.75"/>
    <col customWidth="1" min="4" max="4" width="30.88"/>
    <col customWidth="1" min="5" max="5" width="30.63"/>
    <col customWidth="1" min="6" max="6" width="34.38"/>
    <col customWidth="1" min="7" max="7" width="20.13"/>
    <col customWidth="1" min="8" max="8" width="19.25"/>
  </cols>
  <sheetData>
    <row r="1">
      <c r="A1" s="1" t="s">
        <v>212</v>
      </c>
    </row>
    <row r="2">
      <c r="A2" s="2" t="s">
        <v>21</v>
      </c>
      <c r="B2" s="2" t="s">
        <v>213</v>
      </c>
      <c r="C2" s="2" t="s">
        <v>214</v>
      </c>
      <c r="D2" s="2" t="s">
        <v>215</v>
      </c>
      <c r="E2" s="2" t="s">
        <v>216</v>
      </c>
      <c r="F2" s="2" t="s">
        <v>217</v>
      </c>
      <c r="G2" s="2" t="s">
        <v>218</v>
      </c>
      <c r="H2" s="2" t="s">
        <v>19</v>
      </c>
    </row>
    <row r="3">
      <c r="A3" s="3">
        <v>1.0</v>
      </c>
      <c r="B3" s="3" t="s">
        <v>219</v>
      </c>
      <c r="C3" s="3" t="s">
        <v>220</v>
      </c>
      <c r="D3" s="3" t="s">
        <v>220</v>
      </c>
      <c r="E3" s="3" t="s">
        <v>220</v>
      </c>
      <c r="F3" s="3" t="s">
        <v>219</v>
      </c>
      <c r="G3" s="3" t="s">
        <v>220</v>
      </c>
      <c r="H3" s="5" t="s">
        <v>221</v>
      </c>
    </row>
    <row r="4">
      <c r="A4" s="3">
        <v>2.0</v>
      </c>
      <c r="B4" s="3" t="s">
        <v>219</v>
      </c>
      <c r="C4" s="3" t="s">
        <v>220</v>
      </c>
      <c r="D4" s="3" t="s">
        <v>220</v>
      </c>
      <c r="E4" s="3" t="s">
        <v>220</v>
      </c>
      <c r="F4" s="3" t="s">
        <v>219</v>
      </c>
      <c r="G4" s="3" t="s">
        <v>220</v>
      </c>
      <c r="H4" s="5" t="s">
        <v>221</v>
      </c>
    </row>
    <row r="5">
      <c r="A5" s="3">
        <v>3.0</v>
      </c>
      <c r="B5" s="3" t="s">
        <v>219</v>
      </c>
      <c r="C5" s="3" t="s">
        <v>220</v>
      </c>
      <c r="D5" s="3" t="s">
        <v>220</v>
      </c>
      <c r="E5" s="3" t="s">
        <v>220</v>
      </c>
      <c r="F5" s="3" t="s">
        <v>219</v>
      </c>
      <c r="G5" s="3" t="s">
        <v>220</v>
      </c>
      <c r="H5" s="5" t="s">
        <v>221</v>
      </c>
    </row>
    <row r="6">
      <c r="A6" s="3">
        <v>4.0</v>
      </c>
      <c r="B6" s="3" t="s">
        <v>219</v>
      </c>
      <c r="C6" s="3" t="s">
        <v>220</v>
      </c>
      <c r="D6" s="3" t="s">
        <v>220</v>
      </c>
      <c r="E6" s="3" t="s">
        <v>220</v>
      </c>
      <c r="F6" s="3" t="s">
        <v>219</v>
      </c>
      <c r="G6" s="3" t="s">
        <v>220</v>
      </c>
      <c r="H6" s="5" t="s">
        <v>221</v>
      </c>
    </row>
    <row r="7">
      <c r="A7" s="3">
        <v>5.0</v>
      </c>
      <c r="B7" s="3" t="s">
        <v>219</v>
      </c>
      <c r="C7" s="3" t="s">
        <v>220</v>
      </c>
      <c r="D7" s="3" t="s">
        <v>220</v>
      </c>
      <c r="E7" s="3" t="s">
        <v>220</v>
      </c>
      <c r="F7" s="3" t="s">
        <v>219</v>
      </c>
      <c r="G7" s="3" t="s">
        <v>220</v>
      </c>
      <c r="H7" s="5" t="s">
        <v>221</v>
      </c>
    </row>
    <row r="8">
      <c r="A8" s="3">
        <v>6.0</v>
      </c>
      <c r="B8" s="3" t="s">
        <v>219</v>
      </c>
      <c r="C8" s="3" t="s">
        <v>220</v>
      </c>
      <c r="D8" s="3" t="s">
        <v>220</v>
      </c>
      <c r="E8" s="3" t="s">
        <v>220</v>
      </c>
      <c r="F8" s="3" t="s">
        <v>219</v>
      </c>
      <c r="G8" s="3" t="s">
        <v>220</v>
      </c>
      <c r="H8" s="5" t="s">
        <v>221</v>
      </c>
    </row>
    <row r="9">
      <c r="A9" s="3">
        <v>7.0</v>
      </c>
      <c r="B9" s="3" t="s">
        <v>219</v>
      </c>
      <c r="C9" s="3" t="s">
        <v>220</v>
      </c>
      <c r="D9" s="3" t="s">
        <v>220</v>
      </c>
      <c r="E9" s="3" t="s">
        <v>220</v>
      </c>
      <c r="F9" s="3" t="s">
        <v>219</v>
      </c>
      <c r="G9" s="3" t="s">
        <v>220</v>
      </c>
      <c r="H9" s="5" t="s">
        <v>221</v>
      </c>
    </row>
    <row r="10">
      <c r="A10" s="3">
        <v>8.0</v>
      </c>
      <c r="B10" s="3" t="s">
        <v>219</v>
      </c>
      <c r="C10" s="3" t="s">
        <v>220</v>
      </c>
      <c r="D10" s="3" t="s">
        <v>220</v>
      </c>
      <c r="E10" s="3" t="s">
        <v>220</v>
      </c>
      <c r="F10" s="3" t="s">
        <v>219</v>
      </c>
      <c r="G10" s="3" t="s">
        <v>220</v>
      </c>
      <c r="H10" s="5" t="s">
        <v>221</v>
      </c>
    </row>
    <row r="11">
      <c r="A11" s="3">
        <v>9.0</v>
      </c>
      <c r="B11" s="3" t="s">
        <v>219</v>
      </c>
      <c r="C11" s="3" t="s">
        <v>220</v>
      </c>
      <c r="D11" s="3" t="s">
        <v>220</v>
      </c>
      <c r="E11" s="3" t="s">
        <v>220</v>
      </c>
      <c r="F11" s="3" t="s">
        <v>219</v>
      </c>
      <c r="G11" s="3" t="s">
        <v>220</v>
      </c>
      <c r="H11" s="5" t="s">
        <v>221</v>
      </c>
    </row>
    <row r="12">
      <c r="A12" s="3">
        <v>10.0</v>
      </c>
      <c r="B12" s="3" t="s">
        <v>219</v>
      </c>
      <c r="C12" s="3" t="s">
        <v>220</v>
      </c>
      <c r="D12" s="3" t="s">
        <v>220</v>
      </c>
      <c r="E12" s="3" t="s">
        <v>220</v>
      </c>
      <c r="F12" s="3" t="s">
        <v>219</v>
      </c>
      <c r="G12" s="3" t="s">
        <v>220</v>
      </c>
      <c r="H12" s="5" t="s">
        <v>221</v>
      </c>
    </row>
  </sheetData>
  <mergeCells count="1">
    <mergeCell ref="A1:H1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4.25"/>
    <col customWidth="1" min="3" max="3" width="44.63"/>
    <col customWidth="1" min="4" max="4" width="19.13"/>
    <col customWidth="1" min="5" max="5" width="21.13"/>
    <col customWidth="1" min="6" max="6" width="15.63"/>
    <col customWidth="1" min="8" max="8" width="27.13"/>
    <col customWidth="1" min="9" max="9" width="29.88"/>
  </cols>
  <sheetData>
    <row r="1">
      <c r="A1" s="1" t="s">
        <v>222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223</v>
      </c>
      <c r="G2" s="18"/>
      <c r="H2" s="20" t="s">
        <v>224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1" t="s">
        <v>21</v>
      </c>
      <c r="B3" s="21" t="s">
        <v>225</v>
      </c>
      <c r="C3" s="21" t="s">
        <v>226</v>
      </c>
      <c r="D3" s="21" t="s">
        <v>227</v>
      </c>
      <c r="E3" s="21" t="s">
        <v>228</v>
      </c>
      <c r="F3" s="21" t="s">
        <v>19</v>
      </c>
      <c r="G3" s="18"/>
      <c r="H3" s="2" t="s">
        <v>229</v>
      </c>
      <c r="I3" s="2" t="s">
        <v>92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2">
        <v>1.0</v>
      </c>
      <c r="B4" s="22">
        <v>32.73</v>
      </c>
      <c r="C4" s="23" t="s">
        <v>230</v>
      </c>
      <c r="D4" s="22">
        <v>5.68</v>
      </c>
      <c r="E4" s="22" t="s">
        <v>23</v>
      </c>
      <c r="F4" s="24"/>
      <c r="G4" s="18"/>
      <c r="H4" s="5" t="s">
        <v>231</v>
      </c>
      <c r="I4" s="25">
        <v>46273.41311342592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6">
        <v>2.0</v>
      </c>
      <c r="B5" s="26">
        <v>32.63</v>
      </c>
      <c r="D5" s="26">
        <v>5.58</v>
      </c>
      <c r="E5" s="26" t="s">
        <v>23</v>
      </c>
      <c r="F5" s="27"/>
      <c r="G5" s="18"/>
      <c r="H5" s="5" t="s">
        <v>232</v>
      </c>
      <c r="I5" s="25">
        <v>46274.114224537036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2">
        <v>3.0</v>
      </c>
      <c r="B6" s="22">
        <v>32.64</v>
      </c>
      <c r="D6" s="22">
        <v>5.59</v>
      </c>
      <c r="E6" s="22" t="s">
        <v>23</v>
      </c>
      <c r="F6" s="24"/>
      <c r="G6" s="18"/>
      <c r="H6" s="5" t="s">
        <v>233</v>
      </c>
      <c r="I6" s="3" t="s">
        <v>234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6">
        <v>4.0</v>
      </c>
      <c r="B7" s="26">
        <v>32.61</v>
      </c>
      <c r="D7" s="26">
        <v>5.56</v>
      </c>
      <c r="E7" s="26" t="s">
        <v>23</v>
      </c>
      <c r="F7" s="27"/>
      <c r="G7" s="18"/>
      <c r="H7" s="5" t="s">
        <v>235</v>
      </c>
      <c r="I7" s="28">
        <v>1869.0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2">
        <v>5.0</v>
      </c>
      <c r="B8" s="22">
        <v>32.44</v>
      </c>
      <c r="D8" s="22">
        <v>5.39</v>
      </c>
      <c r="E8" s="22" t="s">
        <v>23</v>
      </c>
      <c r="F8" s="24"/>
      <c r="G8" s="18"/>
      <c r="H8" s="5" t="s">
        <v>236</v>
      </c>
      <c r="I8" s="28">
        <v>1869.0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6">
        <v>6.0</v>
      </c>
      <c r="B9" s="26">
        <v>32.66</v>
      </c>
      <c r="D9" s="26">
        <v>5.61</v>
      </c>
      <c r="E9" s="26" t="s">
        <v>23</v>
      </c>
      <c r="F9" s="27"/>
      <c r="G9" s="18"/>
      <c r="H9" s="5" t="s">
        <v>237</v>
      </c>
      <c r="I9" s="3">
        <v>0.0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2">
        <v>7.0</v>
      </c>
      <c r="B10" s="22">
        <v>32.58</v>
      </c>
      <c r="D10" s="22">
        <v>5.53</v>
      </c>
      <c r="E10" s="22" t="s">
        <v>23</v>
      </c>
      <c r="F10" s="24"/>
      <c r="G10" s="18"/>
      <c r="H10" s="5" t="s">
        <v>238</v>
      </c>
      <c r="I10" s="3">
        <v>0.0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6">
        <v>8.0</v>
      </c>
      <c r="B11" s="26">
        <v>32.69</v>
      </c>
      <c r="D11" s="26">
        <v>5.64</v>
      </c>
      <c r="E11" s="26" t="s">
        <v>23</v>
      </c>
      <c r="F11" s="27"/>
      <c r="G11" s="18"/>
      <c r="H11" s="5" t="s">
        <v>239</v>
      </c>
      <c r="I11" s="3" t="s">
        <v>240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2">
        <v>9.0</v>
      </c>
      <c r="B12" s="22">
        <v>32.67</v>
      </c>
      <c r="D12" s="22">
        <v>5.62</v>
      </c>
      <c r="E12" s="22" t="s">
        <v>23</v>
      </c>
      <c r="F12" s="24"/>
      <c r="G12" s="18"/>
      <c r="H12" s="5" t="s">
        <v>241</v>
      </c>
      <c r="I12" s="12" t="s">
        <v>242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6">
        <v>10.0</v>
      </c>
      <c r="B13" s="26">
        <v>32.59</v>
      </c>
      <c r="D13" s="26">
        <v>5.54</v>
      </c>
      <c r="E13" s="26" t="s">
        <v>23</v>
      </c>
      <c r="F13" s="27"/>
      <c r="G13" s="18"/>
      <c r="H13" s="5" t="s">
        <v>19</v>
      </c>
      <c r="I13" s="12" t="s">
        <v>243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9"/>
      <c r="B14" s="29"/>
      <c r="C14" s="30"/>
      <c r="D14" s="29"/>
      <c r="E14" s="29"/>
      <c r="F14" s="24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mergeCells count="4">
    <mergeCell ref="A1:I1"/>
    <mergeCell ref="A2:F2"/>
    <mergeCell ref="H2:I2"/>
    <mergeCell ref="C4:C13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</row>
    <row r="2">
      <c r="A2" s="8">
        <v>1.0</v>
      </c>
      <c r="B2" s="8">
        <v>0.75</v>
      </c>
      <c r="C2" s="8">
        <v>0.76</v>
      </c>
      <c r="D2" s="31">
        <v>0.7</v>
      </c>
      <c r="E2" s="8">
        <v>0.87</v>
      </c>
      <c r="F2" s="31">
        <v>0.85</v>
      </c>
      <c r="G2" s="18">
        <f t="shared" ref="G2:G3" si="1">AVERAGE(B2:F2)</f>
        <v>0.786</v>
      </c>
      <c r="H2" s="18">
        <f t="shared" ref="H2:H3" si="2">STDEV(B2:F2)</f>
        <v>0.07162401832</v>
      </c>
    </row>
    <row r="3">
      <c r="A3" s="8">
        <v>5.0</v>
      </c>
      <c r="B3" s="8">
        <v>14.92</v>
      </c>
      <c r="C3" s="8">
        <v>14.88</v>
      </c>
      <c r="D3" s="8">
        <v>14.98</v>
      </c>
      <c r="E3" s="8">
        <v>14.98</v>
      </c>
      <c r="F3" s="8">
        <v>14.99</v>
      </c>
      <c r="G3" s="18">
        <f t="shared" si="1"/>
        <v>14.95</v>
      </c>
      <c r="H3" s="18">
        <f t="shared" si="2"/>
        <v>0.04795831523</v>
      </c>
    </row>
    <row r="4">
      <c r="A4" s="8">
        <v>10.0</v>
      </c>
      <c r="B4" s="8" t="s">
        <v>252</v>
      </c>
      <c r="G4" s="18"/>
      <c r="H4" s="18"/>
    </row>
    <row r="5">
      <c r="A5" s="8">
        <v>15.0</v>
      </c>
      <c r="B5" s="8">
        <v>50.16</v>
      </c>
      <c r="C5" s="8">
        <v>49.55</v>
      </c>
      <c r="D5" s="8">
        <v>50.12</v>
      </c>
      <c r="E5" s="8">
        <v>49.96</v>
      </c>
      <c r="F5" s="8">
        <v>49.64</v>
      </c>
      <c r="G5" s="18">
        <f t="shared" ref="G5:G7" si="3">AVERAGE(B5:F5)</f>
        <v>49.886</v>
      </c>
      <c r="H5" s="18">
        <f t="shared" ref="H5:H7" si="4">STDEV(B5:F5)</f>
        <v>0.2778128867</v>
      </c>
    </row>
    <row r="6">
      <c r="A6" s="8">
        <v>20.0</v>
      </c>
      <c r="B6" s="8">
        <v>66.78</v>
      </c>
      <c r="C6" s="8">
        <v>67.71</v>
      </c>
      <c r="D6" s="8">
        <v>70.18</v>
      </c>
      <c r="E6" s="8">
        <v>69.52</v>
      </c>
      <c r="F6" s="8">
        <v>66.75</v>
      </c>
      <c r="G6" s="18">
        <f t="shared" si="3"/>
        <v>68.188</v>
      </c>
      <c r="H6" s="18">
        <f t="shared" si="4"/>
        <v>1.582804473</v>
      </c>
    </row>
    <row r="7">
      <c r="A7" s="8">
        <v>32.0</v>
      </c>
      <c r="B7" s="8">
        <v>109.75</v>
      </c>
      <c r="C7" s="8">
        <v>109.46</v>
      </c>
      <c r="D7" s="8">
        <v>109.18</v>
      </c>
      <c r="E7" s="8">
        <v>108.83</v>
      </c>
      <c r="F7" s="8">
        <v>108.51</v>
      </c>
      <c r="G7" s="18">
        <f t="shared" si="3"/>
        <v>109.146</v>
      </c>
      <c r="H7" s="18">
        <f t="shared" si="4"/>
        <v>0.4921686703</v>
      </c>
    </row>
  </sheetData>
  <mergeCells count="1">
    <mergeCell ref="B4:F4"/>
  </mergeCells>
  <drawing r:id="rId1"/>
</worksheet>
</file>